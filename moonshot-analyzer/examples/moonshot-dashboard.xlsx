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scovery Scan" sheetId="1" state="visible" r:id="rId1"/>
    <sheet xmlns:r="http://schemas.openxmlformats.org/officeDocument/2006/relationships" name="Deep Dive Scorecards" sheetId="2" state="visible" r:id="rId2"/>
    <sheet xmlns:r="http://schemas.openxmlformats.org/officeDocument/2006/relationships" name="Monitoring Log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'Discovery Scan'!$A$1:$R$1</definedName>
    <definedName name="_xlnm._FilterDatabase" localSheetId="1" hidden="1">'Deep Dive Scorecards'!$A$1:$Z$1</definedName>
    <definedName name="_xlnm._FilterDatabase" localSheetId="2" hidden="1">'Monitoring Log'!$A$1:$I$1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B2A4A"/>
      <sz val="14"/>
    </font>
    <font>
      <name val="Arial"/>
      <charset val="1"/>
      <family val="0"/>
      <b val="1"/>
      <color rgb="FF2D4A7A"/>
      <sz val="12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2" min="1" max="1"/>
    <col width="22" customWidth="1" style="12" min="2" max="2"/>
    <col width="12" customWidth="1" style="12" min="3" max="3"/>
    <col width="20" customWidth="1" style="12" min="4" max="4"/>
    <col width="12" customWidth="1" style="12" min="5" max="5"/>
    <col width="8" customWidth="1" style="12" min="6" max="6"/>
    <col width="35" customWidth="1" style="12" min="7" max="7"/>
    <col width="8" customWidth="1" style="12" min="8" max="15"/>
    <col width="14" customWidth="1" style="12" min="16" max="16"/>
    <col width="10" customWidth="1" style="12" min="17" max="17"/>
    <col width="30" customWidth="1" style="12" min="18" max="18"/>
  </cols>
  <sheetData>
    <row r="1" ht="45" customHeight="1" s="13">
      <c r="A1" s="14" t="inlineStr">
        <is>
          <t>Ticker</t>
        </is>
      </c>
      <c r="B1" s="14" t="inlineStr">
        <is>
          <t>Şirket</t>
        </is>
      </c>
      <c r="C1" s="14" t="inlineStr">
        <is>
          <t>Tarama Tarihi</t>
        </is>
      </c>
      <c r="D1" s="14" t="inlineStr">
        <is>
          <t>Megatrend</t>
        </is>
      </c>
      <c r="E1" s="14" t="inlineStr">
        <is>
          <t>Tedarik
Katmanı</t>
        </is>
      </c>
      <c r="F1" s="14" t="inlineStr">
        <is>
          <t>Mkt Cap
($B)</t>
        </is>
      </c>
      <c r="G1" s="14" t="inlineStr">
        <is>
          <t>Son Gelişme</t>
        </is>
      </c>
      <c r="H1" s="14" t="inlineStr">
        <is>
          <t>D1
Megatrend</t>
        </is>
      </c>
      <c r="I1" s="14" t="inlineStr">
        <is>
          <t>D2
Tech</t>
        </is>
      </c>
      <c r="J1" s="14" t="inlineStr">
        <is>
          <t>D3
De-risk</t>
        </is>
      </c>
      <c r="K1" s="14" t="inlineStr">
        <is>
          <t>D4
Asymmetric</t>
        </is>
      </c>
      <c r="L1" s="14" t="inlineStr">
        <is>
          <t>D5
Growth</t>
        </is>
      </c>
      <c r="M1" s="14" t="inlineStr">
        <is>
          <t>D6
Team</t>
        </is>
      </c>
      <c r="N1" s="14" t="inlineStr">
        <is>
          <t>D7
Financial</t>
        </is>
      </c>
      <c r="O1" s="14" t="inlineStr">
        <is>
          <t>Quick
Score</t>
        </is>
      </c>
      <c r="P1" s="14" t="inlineStr">
        <is>
          <t>Kategori</t>
        </is>
      </c>
      <c r="Q1" s="14" t="inlineStr">
        <is>
          <t>Deep Dive?</t>
        </is>
      </c>
      <c r="R1" s="14" t="inlineStr">
        <is>
          <t>Notlar</t>
        </is>
      </c>
    </row>
    <row r="2" ht="15" customHeight="1" s="13">
      <c r="A2" s="12" t="inlineStr">
        <is>
          <t>SKYT</t>
        </is>
      </c>
      <c r="B2" s="12" t="inlineStr">
        <is>
          <t>SkyWater Technology</t>
        </is>
      </c>
      <c r="C2" s="12" t="inlineStr">
        <is>
          <t>2026-03-14</t>
        </is>
      </c>
      <c r="D2" s="12" t="inlineStr">
        <is>
          <t>AI &amp; Otomasyon + Quantum + Savunma</t>
        </is>
      </c>
      <c r="E2" s="12" t="inlineStr">
        <is>
          <t>Katman 3: Malzeme/Ekipman</t>
        </is>
      </c>
      <c r="F2" s="12" t="n">
        <v>1.4</v>
      </c>
      <c r="G2" s="12" t="inlineStr">
        <is>
          <t>Kuantum musterilerinden rekor gelir Q3 2025; 4 yeni kuantum musterisi</t>
        </is>
      </c>
      <c r="H2" s="12" t="n">
        <v>5</v>
      </c>
      <c r="I2" s="12" t="n">
        <v>4</v>
      </c>
      <c r="J2" s="12" t="n">
        <v>4</v>
      </c>
      <c r="K2" s="12" t="n">
        <v>4</v>
      </c>
      <c r="L2" s="12" t="n">
        <v>4</v>
      </c>
      <c r="M2" s="12" t="n">
        <v>3</v>
      </c>
      <c r="N2" s="12" t="n">
        <v>4</v>
      </c>
      <c r="O2" s="15">
        <f>IF(H2="","",SUM(H2:N2))</f>
        <v/>
      </c>
      <c r="P2" s="16">
        <f>IF(O2="","",IF(O2&gt;=25,"🚀 DEEP DIVE",IF(O2&gt;=18,"🟡 WATCHLIST","🔴 PASS")))</f>
        <v/>
      </c>
      <c r="Q2" s="12" t="inlineStr">
        <is>
          <t>Evet</t>
        </is>
      </c>
      <c r="R2" s="12" t="inlineStr">
        <is>
          <t>ABD'nin tek bagimsiz yari iletken dokumhanesi. CHIPS Act finansmani, DoE $2.7B nukler/kuantum destegi. 3 megatrend kesisimi.</t>
        </is>
      </c>
    </row>
    <row r="3" ht="15" customHeight="1" s="13">
      <c r="A3" s="12" t="inlineStr">
        <is>
          <t>LUNR</t>
        </is>
      </c>
      <c r="B3" s="12" t="inlineStr">
        <is>
          <t>Intuitive Machines</t>
        </is>
      </c>
      <c r="C3" s="12" t="inlineStr">
        <is>
          <t>2026-03-14</t>
        </is>
      </c>
      <c r="D3" s="12" t="inlineStr">
        <is>
          <t>Uzay + Savunma</t>
        </is>
      </c>
      <c r="E3" s="12" t="inlineStr">
        <is>
          <t>Katman 1: Son Urun/Sistem</t>
        </is>
      </c>
      <c r="F3" s="12" t="n">
        <v>3.6</v>
      </c>
      <c r="G3" s="12" t="inlineStr">
        <is>
          <t>Lanteris Space Systems'i $800M'a satin aldi (Ocak 2026); ~$1B backlog</t>
        </is>
      </c>
      <c r="H3" s="12" t="n">
        <v>5</v>
      </c>
      <c r="I3" s="12" t="n">
        <v>4</v>
      </c>
      <c r="J3" s="12" t="n">
        <v>4</v>
      </c>
      <c r="K3" s="12" t="n">
        <v>4</v>
      </c>
      <c r="L3" s="12" t="n">
        <v>4</v>
      </c>
      <c r="M3" s="12" t="n">
        <v>3</v>
      </c>
      <c r="N3" s="12" t="n">
        <v>3</v>
      </c>
      <c r="O3" s="15">
        <f>IF(H3="","",SUM(H3:N3))</f>
        <v/>
      </c>
      <c r="P3" s="16">
        <f>IF(O3="","",IF(O3&gt;=25,"🚀 DEEP DIVE",IF(O3&gt;=18,"🟡 WATCHLIST","🔴 PASS")))</f>
        <v/>
      </c>
      <c r="Q3" s="12" t="inlineStr">
        <is>
          <t>Evet</t>
        </is>
      </c>
      <c r="R3" s="12" t="inlineStr">
        <is>
          <t>NASA ay araci kontrati on sira adayi. Pro-forma backlog ~$1B. Savunma + uzay kesisiminde genisliyor.</t>
        </is>
      </c>
    </row>
    <row r="4" ht="15" customHeight="1" s="13">
      <c r="A4" s="12" t="inlineStr">
        <is>
          <t>RCAT</t>
        </is>
      </c>
      <c r="B4" s="12" t="inlineStr">
        <is>
          <t>Red Cat Holdings</t>
        </is>
      </c>
      <c r="C4" s="12" t="inlineStr">
        <is>
          <t>2026-03-14</t>
        </is>
      </c>
      <c r="D4" s="12" t="inlineStr">
        <is>
          <t>Savunma + Robotik</t>
        </is>
      </c>
      <c r="E4" s="12" t="inlineStr">
        <is>
          <t>Katman 1: Son Urun/Sistem</t>
        </is>
      </c>
      <c r="F4" s="12" t="n">
        <v>1</v>
      </c>
      <c r="G4" s="12" t="inlineStr">
        <is>
          <t>Drone savasi paradigma degisimi; DoD ruzu; $5-&gt;$15 son 1 yil</t>
        </is>
      </c>
      <c r="H4" s="12" t="n">
        <v>5</v>
      </c>
      <c r="I4" s="12" t="n">
        <v>4</v>
      </c>
      <c r="J4" s="12" t="n">
        <v>4</v>
      </c>
      <c r="K4" s="12" t="n">
        <v>4</v>
      </c>
      <c r="L4" s="12" t="n">
        <v>4</v>
      </c>
      <c r="M4" s="12" t="n">
        <v>3</v>
      </c>
      <c r="N4" s="12" t="n">
        <v>3</v>
      </c>
      <c r="O4" s="15">
        <f>IF(H4="","",SUM(H4:N4))</f>
        <v/>
      </c>
      <c r="P4" s="16">
        <f>IF(O4="","",IF(O4&gt;=25,"🚀 DEEP DIVE",IF(O4&gt;=18,"🟡 WATCHLIST","🔴 PASS")))</f>
        <v/>
      </c>
      <c r="Q4" s="12" t="inlineStr">
        <is>
          <t>Evet</t>
        </is>
      </c>
      <c r="R4" s="12" t="inlineStr">
        <is>
          <t>Askeri taktik drone sistemleri. ABD askeri drone harcamalari 2025-2030 $11.8B-&gt;$33.3B. Replicator programi.</t>
        </is>
      </c>
    </row>
    <row r="5" ht="15" customHeight="1" s="13">
      <c r="A5" s="12" t="inlineStr">
        <is>
          <t>BKSY</t>
        </is>
      </c>
      <c r="B5" s="12" t="inlineStr">
        <is>
          <t>BlackSky Technology</t>
        </is>
      </c>
      <c r="C5" s="12" t="inlineStr">
        <is>
          <t>2026-03-14</t>
        </is>
      </c>
      <c r="D5" s="12" t="inlineStr">
        <is>
          <t>Uzay + Savunma + AI &amp; Otomasyon</t>
        </is>
      </c>
      <c r="E5" s="12" t="inlineStr">
        <is>
          <t>Katman 1: Son Urun/Sistem</t>
        </is>
      </c>
      <c r="F5" s="12" t="n">
        <v>0.875</v>
      </c>
      <c r="G5" s="12" t="inlineStr">
        <is>
          <t>$322.7M backlog (%91 uluslararasi savunma); 4. Gen-3 uydu devrede (Mart 2026)</t>
        </is>
      </c>
      <c r="H5" s="12" t="n">
        <v>5</v>
      </c>
      <c r="I5" s="12" t="n">
        <v>4</v>
      </c>
      <c r="J5" s="12" t="n">
        <v>4</v>
      </c>
      <c r="K5" s="12" t="n">
        <v>4</v>
      </c>
      <c r="L5" s="12" t="n">
        <v>3</v>
      </c>
      <c r="M5" s="12" t="n">
        <v>3</v>
      </c>
      <c r="N5" s="12" t="n">
        <v>3</v>
      </c>
      <c r="O5" s="15">
        <f>IF(H5="","",SUM(H5:N5))</f>
        <v/>
      </c>
      <c r="P5" s="16">
        <f>IF(O5="","",IF(O5&gt;=25,"🚀 DEEP DIVE",IF(O5&gt;=18,"🟡 WATCHLIST","🔴 PASS")))</f>
        <v/>
      </c>
      <c r="Q5" s="12" t="inlineStr">
        <is>
          <t>Evet</t>
        </is>
      </c>
      <c r="R5" s="12" t="inlineStr">
        <is>
          <t>Gercek zamanli Dunya gozlem + AI jeouzaysal istihbarat. +$100M 7 yillik uluslararasi savunma sozlesmesi.</t>
        </is>
      </c>
    </row>
    <row r="6" ht="15" customHeight="1" s="13">
      <c r="A6" s="12" t="inlineStr">
        <is>
          <t>BETA</t>
        </is>
      </c>
      <c r="B6" s="12" t="inlineStr">
        <is>
          <t>BETA Technologies</t>
        </is>
      </c>
      <c r="C6" s="12" t="inlineStr">
        <is>
          <t>2026-03-14</t>
        </is>
      </c>
      <c r="D6" s="12" t="inlineStr">
        <is>
          <t>Otonom Mobilite (eVTOL)</t>
        </is>
      </c>
      <c r="E6" s="12" t="inlineStr">
        <is>
          <t>Katman 1: Son Urun/Sistem</t>
        </is>
      </c>
      <c r="F6" s="12" t="n">
        <v>1.5</v>
      </c>
      <c r="G6" s="12" t="inlineStr">
        <is>
          <t>Jefferies Buy $30 hedef (%79 yukari); FAA sertifikasyonu H1 2026; Amazon %5.3 hisse</t>
        </is>
      </c>
      <c r="H6" s="12" t="n">
        <v>4</v>
      </c>
      <c r="I6" s="12" t="n">
        <v>4</v>
      </c>
      <c r="J6" s="12" t="n">
        <v>4</v>
      </c>
      <c r="K6" s="12" t="n">
        <v>5</v>
      </c>
      <c r="L6" s="12" t="n">
        <v>3</v>
      </c>
      <c r="M6" s="12" t="n">
        <v>3</v>
      </c>
      <c r="N6" s="12" t="n">
        <v>3</v>
      </c>
      <c r="O6" s="15">
        <f>IF(H6="","",SUM(H6:N6))</f>
        <v/>
      </c>
      <c r="P6" s="16">
        <f>IF(O6="","",IF(O6&gt;=25,"🚀 DEEP DIVE",IF(O6&gt;=18,"🟡 WATCHLIST","🔴 PASS")))</f>
        <v/>
      </c>
      <c r="Q6" s="12" t="inlineStr">
        <is>
          <t>Evet</t>
        </is>
      </c>
      <c r="R6" s="12" t="inlineStr">
        <is>
          <t>52 haftalik dusuge yakin = contra-signal. Eve Air $1B sozlesme. DoT eVTOL Pilot Program odul beklentisi.</t>
        </is>
      </c>
    </row>
    <row r="7" ht="15" customHeight="1" s="13">
      <c r="A7" s="12" t="inlineStr">
        <is>
          <t>NNE</t>
        </is>
      </c>
      <c r="B7" s="12" t="inlineStr">
        <is>
          <t>Nano Nuclear Energy</t>
        </is>
      </c>
      <c r="C7" s="12" t="inlineStr">
        <is>
          <t>2026-03-14</t>
        </is>
      </c>
      <c r="D7" s="12" t="inlineStr">
        <is>
          <t>Enerji Geçişi</t>
        </is>
      </c>
      <c r="E7" s="12" t="inlineStr">
        <is>
          <t>Katman 1: Son Urun/Sistem</t>
        </is>
      </c>
      <c r="F7" s="12" t="n">
        <v>1.5</v>
      </c>
      <c r="G7" s="12" t="inlineStr">
        <is>
          <t>Zeus ve Odin mikro reaktor tasarimlari; DoE $2.7B nukler destek; zirveden %60 dusus</t>
        </is>
      </c>
      <c r="H7" s="12" t="n">
        <v>5</v>
      </c>
      <c r="I7" s="12" t="n">
        <v>4</v>
      </c>
      <c r="J7" s="12" t="n">
        <v>3</v>
      </c>
      <c r="K7" s="12" t="n">
        <v>4</v>
      </c>
      <c r="L7" s="12" t="n">
        <v>3</v>
      </c>
      <c r="M7" s="12" t="n">
        <v>3</v>
      </c>
      <c r="N7" s="12" t="n">
        <v>3</v>
      </c>
      <c r="O7" s="15">
        <f>IF(H7="","",SUM(H7:N7))</f>
        <v/>
      </c>
      <c r="P7" s="16">
        <f>IF(O7="","",IF(O7&gt;=25,"🚀 DEEP DIVE",IF(O7&gt;=18,"🟡 WATCHLIST","🔴 PASS")))</f>
        <v/>
      </c>
      <c r="Q7" s="12" t="inlineStr">
        <is>
          <t>Evet</t>
        </is>
      </c>
      <c r="R7" s="12" t="inlineStr">
        <is>
          <t>Tasinabilir mikro reaktor (1-2 MW). Veri merkezleri + uzay + askeri uygulamalar. Contra-signal firsati.</t>
        </is>
      </c>
    </row>
    <row r="8" ht="15" customHeight="1" s="13">
      <c r="A8" s="12" t="inlineStr">
        <is>
          <t>INFQ</t>
        </is>
      </c>
      <c r="B8" s="12" t="inlineStr">
        <is>
          <t>Infleqtion</t>
        </is>
      </c>
      <c r="C8" s="12" t="inlineStr">
        <is>
          <t>2026-03-14</t>
        </is>
      </c>
      <c r="D8" s="12" t="inlineStr">
        <is>
          <t>Quantum + AI &amp; Otomasyon</t>
        </is>
      </c>
      <c r="E8" s="12" t="inlineStr">
        <is>
          <t>Katman 1: Son Urun/Sistem</t>
        </is>
      </c>
      <c r="F8" s="12" t="n">
        <v>0.467</v>
      </c>
      <c r="G8" s="12" t="inlineStr">
        <is>
          <t>Ilk notr atom kuantum IPO (Sub 2026); $467M degerlemesinde</t>
        </is>
      </c>
      <c r="H8" s="12" t="n">
        <v>4</v>
      </c>
      <c r="I8" s="12" t="n">
        <v>4</v>
      </c>
      <c r="J8" s="12" t="n">
        <v>3</v>
      </c>
      <c r="K8" s="12" t="n">
        <v>5</v>
      </c>
      <c r="L8" s="12" t="n">
        <v>3</v>
      </c>
      <c r="M8" s="12" t="n">
        <v>3</v>
      </c>
      <c r="N8" s="12" t="n">
        <v>3</v>
      </c>
      <c r="O8" s="15">
        <f>IF(H8="","",SUM(H8:N8))</f>
        <v/>
      </c>
      <c r="P8" s="16">
        <f>IF(O8="","",IF(O8&gt;=25,"🚀 DEEP DIVE",IF(O8&gt;=18,"🟡 WATCHLIST","🔴 PASS")))</f>
        <v/>
      </c>
      <c r="Q8" s="12" t="inlineStr">
        <is>
          <t>Evet</t>
        </is>
      </c>
      <c r="R8" s="12" t="inlineStr">
        <is>
          <t>Notr atom teknolojisinde kuresel lider. Kuantum bilisim + kuantum algilama cift gelir kaynagi.</t>
        </is>
      </c>
    </row>
    <row r="9" ht="15" customHeight="1" s="13">
      <c r="A9" s="12" t="inlineStr">
        <is>
          <t>UMAC</t>
        </is>
      </c>
      <c r="B9" s="12" t="inlineStr">
        <is>
          <t>Unusual Machines</t>
        </is>
      </c>
      <c r="C9" s="12" t="inlineStr">
        <is>
          <t>2026-03-14</t>
        </is>
      </c>
      <c r="D9" s="12" t="inlineStr">
        <is>
          <t>Savunma + Robotik</t>
        </is>
      </c>
      <c r="E9" s="12" t="inlineStr">
        <is>
          <t>Katman 2: Bilesen/Alt Sistem</t>
        </is>
      </c>
      <c r="F9" s="12" t="n">
        <v>0.4</v>
      </c>
      <c r="G9" s="12" t="inlineStr">
        <is>
          <t>Needham top pick; %149 gelir buyumesi ongorusu; taktik drone bilesenleri</t>
        </is>
      </c>
      <c r="H9" s="12" t="n">
        <v>5</v>
      </c>
      <c r="I9" s="12" t="n">
        <v>3</v>
      </c>
      <c r="J9" s="12" t="n">
        <v>4</v>
      </c>
      <c r="K9" s="12" t="n">
        <v>4</v>
      </c>
      <c r="L9" s="12" t="n">
        <v>4</v>
      </c>
      <c r="M9" s="12" t="n">
        <v>3</v>
      </c>
      <c r="N9" s="12" t="n">
        <v>2</v>
      </c>
      <c r="O9" s="15">
        <f>IF(H9="","",SUM(H9:N9))</f>
        <v/>
      </c>
      <c r="P9" s="16">
        <f>IF(O9="","",IF(O9&gt;=25,"🚀 DEEP DIVE",IF(O9&gt;=18,"🟡 WATCHLIST","🔴 PASS")))</f>
        <v/>
      </c>
      <c r="Q9" s="12" t="inlineStr">
        <is>
          <t>Evet</t>
        </is>
      </c>
      <c r="R9" s="12" t="inlineStr">
        <is>
          <t>Motorlar, FPV kameralar, ucus kontrolorleri. Tedarik zinciri oyuncusu. ABD askeri + ticari drone pazari.</t>
        </is>
      </c>
    </row>
    <row r="10" ht="15" customHeight="1" s="13">
      <c r="A10" s="12" t="inlineStr">
        <is>
          <t>RDW</t>
        </is>
      </c>
      <c r="B10" s="12" t="inlineStr">
        <is>
          <t>Redwire Corporation</t>
        </is>
      </c>
      <c r="C10" s="12" t="inlineStr">
        <is>
          <t>2026-03-14</t>
        </is>
      </c>
      <c r="D10" s="12" t="inlineStr">
        <is>
          <t>Uzay + Savunma</t>
        </is>
      </c>
      <c r="E10" s="12" t="inlineStr">
        <is>
          <t>Katman 2: Bilesen/Alt Sistem</t>
        </is>
      </c>
      <c r="F10" s="12" t="n">
        <v>1.8</v>
      </c>
      <c r="G10" s="12" t="inlineStr">
        <is>
          <t>2025 geliri $335.4M (+%10.3 YoY); rekor $411.2M backlog; 2026 tahmini $450-500M</t>
        </is>
      </c>
      <c r="H10" s="12" t="n">
        <v>4</v>
      </c>
      <c r="I10" s="12" t="n">
        <v>4</v>
      </c>
      <c r="J10" s="12" t="n">
        <v>4</v>
      </c>
      <c r="K10" s="12" t="n">
        <v>3</v>
      </c>
      <c r="L10" s="12" t="n">
        <v>3</v>
      </c>
      <c r="M10" s="12" t="n">
        <v>3</v>
      </c>
      <c r="N10" s="12" t="n">
        <v>3</v>
      </c>
      <c r="O10" s="15">
        <f>IF(H10="","",SUM(H10:N10))</f>
        <v/>
      </c>
      <c r="P10" s="16">
        <f>IF(O10="","",IF(O10&gt;=25,"🚀 DEEP DIVE",IF(O10&gt;=18,"🟡 WATCHLIST","🔴 PASS")))</f>
        <v/>
      </c>
      <c r="R10" s="12" t="inlineStr">
        <is>
          <t>Uzay altyapisi, gunes panelleri, uzay uretimi. ISS sonrasi ticari istasyon sozlesmeleri.</t>
        </is>
      </c>
    </row>
    <row r="11" ht="15" customHeight="1" s="13">
      <c r="A11" s="12" t="inlineStr">
        <is>
          <t>OUST</t>
        </is>
      </c>
      <c r="B11" s="12" t="inlineStr">
        <is>
          <t>Ouster</t>
        </is>
      </c>
      <c r="C11" s="12" t="inlineStr">
        <is>
          <t>2026-03-14</t>
        </is>
      </c>
      <c r="D11" s="12" t="inlineStr">
        <is>
          <t>Robotik + Otonom Mobilite</t>
        </is>
      </c>
      <c r="E11" s="12" t="inlineStr">
        <is>
          <t>Katman 2: Bilesen/Alt Sistem</t>
        </is>
      </c>
      <c r="F11" s="12" t="n">
        <v>0.8</v>
      </c>
      <c r="G11" s="12" t="inlineStr">
        <is>
          <t>Endustriyel LiDAR lider konumu; humanoid robot tedarik zinciri</t>
        </is>
      </c>
      <c r="H11" s="12" t="n">
        <v>4</v>
      </c>
      <c r="I11" s="12" t="n">
        <v>4</v>
      </c>
      <c r="J11" s="12" t="n">
        <v>3</v>
      </c>
      <c r="K11" s="12" t="n">
        <v>4</v>
      </c>
      <c r="L11" s="12" t="n">
        <v>3</v>
      </c>
      <c r="M11" s="12" t="n">
        <v>3</v>
      </c>
      <c r="N11" s="12" t="n">
        <v>3</v>
      </c>
      <c r="O11" s="15">
        <f>IF(H11="","",SUM(H11:N11))</f>
        <v/>
      </c>
      <c r="P11" s="16">
        <f>IF(O11="","",IF(O11&gt;=25,"🚀 DEEP DIVE",IF(O11&gt;=18,"🟡 WATCHLIST","🔴 PASS")))</f>
        <v/>
      </c>
      <c r="Q11" s="12" t="inlineStr">
        <is>
          <t>Evet</t>
        </is>
      </c>
      <c r="R11" s="12" t="inlineStr">
        <is>
          <t>Dusuk marjli otomotiv pazarini kovalamak yerine fabrika robotlarina odakli. Endustriyel otomasyon.</t>
        </is>
      </c>
    </row>
    <row r="12" ht="15" customHeight="1" s="13">
      <c r="A12" s="12" t="inlineStr">
        <is>
          <t>NTLA</t>
        </is>
      </c>
      <c r="B12" s="12" t="inlineStr">
        <is>
          <t>Intellia Therapeutics</t>
        </is>
      </c>
      <c r="C12" s="12" t="inlineStr">
        <is>
          <t>2026-03-14</t>
        </is>
      </c>
      <c r="D12" s="12" t="inlineStr">
        <is>
          <t>BioTech + Uzun Omur</t>
        </is>
      </c>
      <c r="E12" s="12" t="inlineStr">
        <is>
          <t>Katman 1: Son Urun/Sistem</t>
        </is>
      </c>
      <c r="F12" s="12" t="n">
        <v>1.8</v>
      </c>
      <c r="G12" s="12" t="inlineStr">
        <is>
          <t>BofA Buy $43 hedef fiyat; mevcut $7.30 = adil degerin %54 altinda; 2 ileri faz klinik</t>
        </is>
      </c>
      <c r="H12" s="12" t="n">
        <v>5</v>
      </c>
      <c r="I12" s="12" t="n">
        <v>4</v>
      </c>
      <c r="J12" s="12" t="n">
        <v>3</v>
      </c>
      <c r="K12" s="12" t="n">
        <v>5</v>
      </c>
      <c r="L12" s="12" t="n">
        <v>3</v>
      </c>
      <c r="M12" s="12" t="n">
        <v>2</v>
      </c>
      <c r="N12" s="12" t="n">
        <v>2</v>
      </c>
      <c r="O12" s="15">
        <f>IF(H12="","",SUM(H12:N12))</f>
        <v/>
      </c>
      <c r="P12" s="16">
        <f>IF(O12="","",IF(O12&gt;=25,"🚀 DEEP DIVE",IF(O12&gt;=18,"🟡 WATCHLIST","🔴 PASS")))</f>
        <v/>
      </c>
      <c r="Q12" s="12" t="inlineStr">
        <is>
          <t>Evet</t>
        </is>
      </c>
      <c r="R12" s="12" t="inlineStr">
        <is>
          <t>In-vivo CRISPR-Cas9 gen duzenleme. TTR amiloidoz (Nex-z) ve HAE (NTLA-2002). Contra-signal.</t>
        </is>
      </c>
    </row>
    <row r="13" ht="15" customHeight="1" s="13">
      <c r="A13" s="12" t="inlineStr">
        <is>
          <t>NNDM</t>
        </is>
      </c>
      <c r="B13" s="12" t="inlineStr">
        <is>
          <t>Nano Dimension</t>
        </is>
      </c>
      <c r="C13" s="12" t="inlineStr">
        <is>
          <t>2026-03-14</t>
        </is>
      </c>
      <c r="D13" s="12" t="inlineStr">
        <is>
          <t>3D Baski + Savunma</t>
        </is>
      </c>
      <c r="E13" s="12" t="inlineStr">
        <is>
          <t>Katman 1: Son Urun/Sistem</t>
        </is>
      </c>
      <c r="F13" s="12" t="n">
        <v>1.5</v>
      </c>
      <c r="G13" s="12" t="inlineStr">
        <is>
          <t>Markforged'i $116M'a satin aldi (Nisan 2025); metal+kompozit uretim</t>
        </is>
      </c>
      <c r="H13" s="12" t="n">
        <v>4</v>
      </c>
      <c r="I13" s="12" t="n">
        <v>4</v>
      </c>
      <c r="J13" s="12" t="n">
        <v>3</v>
      </c>
      <c r="K13" s="12" t="n">
        <v>3</v>
      </c>
      <c r="L13" s="12" t="n">
        <v>3</v>
      </c>
      <c r="M13" s="12" t="n">
        <v>3</v>
      </c>
      <c r="N13" s="12" t="n">
        <v>3</v>
      </c>
      <c r="O13" s="15">
        <f>IF(H13="","",SUM(H13:N13))</f>
        <v/>
      </c>
      <c r="P13" s="16">
        <f>IF(O13="","",IF(O13&gt;=25,"🚀 DEEP DIVE",IF(O13&gt;=18,"🟡 WATCHLIST","🔴 PASS")))</f>
        <v/>
      </c>
      <c r="R13" s="12" t="inlineStr">
        <is>
          <t>Elektronik, metal ve seramik eklemeli uretim. Havacilik, savunma, otomotiv sektorleri.</t>
        </is>
      </c>
    </row>
    <row r="14" ht="15" customHeight="1" s="13">
      <c r="A14" s="12" t="inlineStr">
        <is>
          <t>LAES</t>
        </is>
      </c>
      <c r="B14" s="12" t="inlineStr">
        <is>
          <t>SEALSQ Corp</t>
        </is>
      </c>
      <c r="C14" s="12" t="inlineStr">
        <is>
          <t>2026-03-14</t>
        </is>
      </c>
      <c r="D14" s="12" t="inlineStr">
        <is>
          <t>Siber Güvenlik + Quantum</t>
        </is>
      </c>
      <c r="E14" s="12" t="inlineStr">
        <is>
          <t>Katman 2: Bilesen/Alt Sistem</t>
        </is>
      </c>
      <c r="F14" s="12" t="n">
        <v>0.784</v>
      </c>
      <c r="G14" s="12" t="inlineStr">
        <is>
          <t>Post-kuantum kriptografik yari iletkenler; NIST PQC standartlari gecisi</t>
        </is>
      </c>
      <c r="H14" s="12" t="n">
        <v>4</v>
      </c>
      <c r="I14" s="12" t="n">
        <v>4</v>
      </c>
      <c r="J14" s="12" t="n">
        <v>3</v>
      </c>
      <c r="K14" s="12" t="n">
        <v>4</v>
      </c>
      <c r="L14" s="12" t="n">
        <v>3</v>
      </c>
      <c r="M14" s="12" t="n">
        <v>3</v>
      </c>
      <c r="N14" s="12" t="n">
        <v>2</v>
      </c>
      <c r="O14" s="15">
        <f>IF(H14="","",SUM(H14:N14))</f>
        <v/>
      </c>
      <c r="P14" s="16">
        <f>IF(O14="","",IF(O14&gt;=25,"🚀 DEEP DIVE",IF(O14&gt;=18,"🟡 WATCHLIST","🔴 PASS")))</f>
        <v/>
      </c>
      <c r="R14" s="12" t="inlineStr">
        <is>
          <t>Donanim seviyesinde kuantum direncli sifreleme. IoT guvenlik talep artisi. PQC mandatlari.</t>
        </is>
      </c>
    </row>
    <row r="15" ht="15" customHeight="1" s="13">
      <c r="A15" s="12" t="inlineStr">
        <is>
          <t>SES</t>
        </is>
      </c>
      <c r="B15" s="12" t="inlineStr">
        <is>
          <t>SES AI Corp</t>
        </is>
      </c>
      <c r="C15" s="12" t="inlineStr">
        <is>
          <t>2026-03-14</t>
        </is>
      </c>
      <c r="D15" s="12" t="inlineStr">
        <is>
          <t>Enerji Geçişi + Savunma</t>
        </is>
      </c>
      <c r="E15" s="12" t="inlineStr">
        <is>
          <t>Katman 2: Bilesen/Alt Sistem</t>
        </is>
      </c>
      <c r="F15" s="12" t="n">
        <v>0.3</v>
      </c>
      <c r="G15" s="12" t="inlineStr">
        <is>
          <t>AI destekli lityum-metal batarya teknolojisi; drone/savunma pazari</t>
        </is>
      </c>
      <c r="H15" s="12" t="n">
        <v>4</v>
      </c>
      <c r="I15" s="12" t="n">
        <v>4</v>
      </c>
      <c r="J15" s="12" t="n">
        <v>3</v>
      </c>
      <c r="K15" s="12" t="n">
        <v>4</v>
      </c>
      <c r="L15" s="12" t="n">
        <v>3</v>
      </c>
      <c r="M15" s="12" t="n">
        <v>3</v>
      </c>
      <c r="N15" s="12" t="n">
        <v>2</v>
      </c>
      <c r="O15" s="15">
        <f>IF(H15="","",SUM(H15:N15))</f>
        <v/>
      </c>
      <c r="P15" s="16">
        <f>IF(O15="","",IF(O15&gt;=25,"🚀 DEEP DIVE",IF(O15&gt;=18,"🟡 WATCHLIST","🔴 PASS")))</f>
        <v/>
      </c>
      <c r="R15" s="12" t="inlineStr">
        <is>
          <t>Drone ve savunma sektoru batarya talebi. AI ile batarya gelistirme hizi artisi. Mikro cap.</t>
        </is>
      </c>
    </row>
    <row r="16" ht="15" customHeight="1" s="13">
      <c r="A16" s="12" t="inlineStr">
        <is>
          <t>EVLV</t>
        </is>
      </c>
      <c r="B16" s="12" t="inlineStr">
        <is>
          <t>Evolv Technologies</t>
        </is>
      </c>
      <c r="C16" s="12" t="inlineStr">
        <is>
          <t>2026-03-14</t>
        </is>
      </c>
      <c r="D16" s="12" t="inlineStr">
        <is>
          <t>AI &amp; Otomasyon + Savunma</t>
        </is>
      </c>
      <c r="E16" s="12" t="inlineStr">
        <is>
          <t>Katman 1: Son Urun/Sistem</t>
        </is>
      </c>
      <c r="F16" s="12" t="n">
        <v>1.5</v>
      </c>
      <c r="G16" s="12" t="inlineStr">
        <is>
          <t>Q3 2025 geliri $42.9M (konsensusu %27.4 asti); YoY %57 buyume</t>
        </is>
      </c>
      <c r="H16" s="12" t="n">
        <v>4</v>
      </c>
      <c r="I16" s="12" t="n">
        <v>3</v>
      </c>
      <c r="J16" s="12" t="n">
        <v>3</v>
      </c>
      <c r="K16" s="12" t="n">
        <v>3</v>
      </c>
      <c r="L16" s="12" t="n">
        <v>4</v>
      </c>
      <c r="M16" s="12" t="n">
        <v>3</v>
      </c>
      <c r="N16" s="12" t="n">
        <v>2</v>
      </c>
      <c r="O16" s="15">
        <f>IF(H16="","",SUM(H16:N16))</f>
        <v/>
      </c>
      <c r="P16" s="16">
        <f>IF(O16="","",IF(O16&gt;=25,"🚀 DEEP DIVE",IF(O16&gt;=18,"🟡 WATCHLIST","🔴 PASS")))</f>
        <v/>
      </c>
      <c r="R16" s="12" t="inlineStr">
        <is>
          <t>AI destekli guvenlik tarama. Stadyumlar, havaalanlari, okullar. Kurumsal anlasma ivmesi.</t>
        </is>
      </c>
    </row>
    <row r="17" ht="15" customHeight="1" s="13">
      <c r="A17" s="12" t="inlineStr">
        <is>
          <t>EH</t>
        </is>
      </c>
      <c r="B17" s="12" t="inlineStr">
        <is>
          <t>EHang Holdings</t>
        </is>
      </c>
      <c r="C17" s="12" t="inlineStr">
        <is>
          <t>2026-03-14</t>
        </is>
      </c>
      <c r="D17" s="12" t="inlineStr">
        <is>
          <t>Otonom Mobilite (eVTOL)</t>
        </is>
      </c>
      <c r="E17" s="12" t="inlineStr">
        <is>
          <t>Katman 1: Son Urun/Sistem</t>
        </is>
      </c>
      <c r="F17" s="12" t="n">
        <v>1.5</v>
      </c>
      <c r="G17" s="12" t="inlineStr">
        <is>
          <t>Dunyada tam ticari sertifika alan ilk eVTOL; Shenzhen-HK rotasi acildi (Ocak 2026)</t>
        </is>
      </c>
      <c r="H17" s="12" t="n">
        <v>4</v>
      </c>
      <c r="I17" s="12" t="n">
        <v>4</v>
      </c>
      <c r="J17" s="12" t="n">
        <v>3</v>
      </c>
      <c r="K17" s="12" t="n">
        <v>3</v>
      </c>
      <c r="L17" s="12" t="n">
        <v>3</v>
      </c>
      <c r="M17" s="12" t="n">
        <v>3</v>
      </c>
      <c r="N17" s="12" t="n">
        <v>2</v>
      </c>
      <c r="O17" s="15">
        <f>IF(H17="","",SUM(H17:N17))</f>
        <v/>
      </c>
      <c r="P17" s="16">
        <f>IF(O17="","",IF(O17&gt;=25,"🚀 DEEP DIVE",IF(O17&gt;=18,"🟡 WATCHLIST","🔴 PASS")))</f>
        <v/>
      </c>
      <c r="R17" s="12" t="inlineStr">
        <is>
          <t>Otonom, pilotsuz EH216-S. Cin duzenleyici destegi guclu. Spekulatiften gelir uretimine gecis.</t>
        </is>
      </c>
    </row>
    <row r="18" ht="15" customHeight="1" s="13">
      <c r="A18" s="12" t="inlineStr">
        <is>
          <t>QUBT</t>
        </is>
      </c>
      <c r="B18" s="12" t="inlineStr">
        <is>
          <t>Quantum Computing Inc.</t>
        </is>
      </c>
      <c r="C18" s="12" t="inlineStr">
        <is>
          <t>2026-03-14</t>
        </is>
      </c>
      <c r="D18" s="12" t="inlineStr">
        <is>
          <t>Quantum</t>
        </is>
      </c>
      <c r="E18" s="12" t="inlineStr">
        <is>
          <t>Katman 1: Son Urun/Sistem</t>
        </is>
      </c>
      <c r="F18" s="12" t="n">
        <v>1.7</v>
      </c>
      <c r="G18" s="12" t="inlineStr">
        <is>
          <t>Fotonik tabanli kuantum bilisim; oda sicakliginda calisma potansiyeli</t>
        </is>
      </c>
      <c r="H18" s="12" t="n">
        <v>4</v>
      </c>
      <c r="I18" s="12" t="n">
        <v>4</v>
      </c>
      <c r="J18" s="12" t="n">
        <v>3</v>
      </c>
      <c r="K18" s="12" t="n">
        <v>4</v>
      </c>
      <c r="L18" s="12" t="n">
        <v>3</v>
      </c>
      <c r="M18" s="12" t="n">
        <v>2</v>
      </c>
      <c r="N18" s="12" t="n">
        <v>2</v>
      </c>
      <c r="O18" s="15">
        <f>IF(H18="","",SUM(H18:N18))</f>
        <v/>
      </c>
      <c r="P18" s="16">
        <f>IF(O18="","",IF(O18&gt;=25,"🚀 DEEP DIVE",IF(O18&gt;=18,"🟡 WATCHLIST","🔴 PASS")))</f>
        <v/>
      </c>
      <c r="R18" s="12" t="inlineStr">
        <is>
          <t>Farkli teknolojik yaklasim (fotonik). Nis pozisyon. Ticari uygulanabilirlik henuz kanitlanmamis.</t>
        </is>
      </c>
    </row>
    <row r="19" ht="15" customHeight="1" s="13">
      <c r="A19" s="12" t="inlineStr">
        <is>
          <t>RFIL</t>
        </is>
      </c>
      <c r="B19" s="12" t="inlineStr">
        <is>
          <t>RF Industries</t>
        </is>
      </c>
      <c r="C19" s="12" t="inlineStr">
        <is>
          <t>2026-03-14</t>
        </is>
      </c>
      <c r="D19" s="12" t="inlineStr">
        <is>
          <t>AI &amp; Otomasyon + Baglanti</t>
        </is>
      </c>
      <c r="E19" s="12" t="inlineStr">
        <is>
          <t>Katman 2: Bilesen/Alt Sistem</t>
        </is>
      </c>
      <c r="F19" s="12" t="n">
        <v>0.15</v>
      </c>
      <c r="G19" s="12" t="inlineStr">
        <is>
          <t>Veri merkezi baglanti ve sogutma cozumleri; mikro cap picks&amp;shovels</t>
        </is>
      </c>
      <c r="H19" s="12" t="n">
        <v>4</v>
      </c>
      <c r="I19" s="12" t="n">
        <v>3</v>
      </c>
      <c r="J19" s="12" t="n">
        <v>3</v>
      </c>
      <c r="K19" s="12" t="n">
        <v>4</v>
      </c>
      <c r="L19" s="12" t="n">
        <v>3</v>
      </c>
      <c r="M19" s="12" t="n">
        <v>2</v>
      </c>
      <c r="N19" s="12" t="n">
        <v>3</v>
      </c>
      <c r="O19" s="15">
        <f>IF(H19="","",SUM(H19:N19))</f>
        <v/>
      </c>
      <c r="P19" s="16">
        <f>IF(O19="","",IF(O19&gt;=25,"🚀 DEEP DIVE",IF(O19&gt;=18,"🟡 WATCHLIST","🔴 PASS")))</f>
        <v/>
      </c>
      <c r="R19" s="12" t="inlineStr">
        <is>
          <t>AI veri merkezi patlamasinda tedarik zinciri oyuncusu. Mutevazi sozlesmeler bile buyuk etki yaratabilir.</t>
        </is>
      </c>
    </row>
    <row r="20" ht="15" customHeight="1" s="13">
      <c r="A20" s="12" t="inlineStr">
        <is>
          <t>CRBU</t>
        </is>
      </c>
      <c r="B20" s="12" t="inlineStr">
        <is>
          <t>Caribou Biosciences</t>
        </is>
      </c>
      <c r="C20" s="12" t="inlineStr">
        <is>
          <t>2026-03-14</t>
        </is>
      </c>
      <c r="D20" s="12" t="inlineStr">
        <is>
          <t>BioTech + Multiomiks</t>
        </is>
      </c>
      <c r="E20" s="12" t="inlineStr">
        <is>
          <t>Katman 1: Son Urun/Sistem</t>
        </is>
      </c>
      <c r="F20" s="12" t="n">
        <v>0.15</v>
      </c>
      <c r="G20" s="12" t="inlineStr">
        <is>
          <t>BofA Buy $11 hedef; mevcut $0.86; chRDNA teknolojisi; H2 2026 nakit pisti</t>
        </is>
      </c>
      <c r="H20" s="12" t="n">
        <v>4</v>
      </c>
      <c r="I20" s="12" t="n">
        <v>4</v>
      </c>
      <c r="J20" s="12" t="n">
        <v>3</v>
      </c>
      <c r="K20" s="12" t="n">
        <v>4</v>
      </c>
      <c r="L20" s="12" t="n">
        <v>3</v>
      </c>
      <c r="M20" s="12" t="n">
        <v>2</v>
      </c>
      <c r="N20" s="12" t="n">
        <v>1</v>
      </c>
      <c r="O20" s="15">
        <f>IF(H20="","",SUM(H20:N20))</f>
        <v/>
      </c>
      <c r="P20" s="16">
        <f>IF(O20="","",IF(O20&gt;=25,"🚀 DEEP DIVE",IF(O20&gt;=18,"🟡 WATCHLIST","🔴 PASS")))</f>
        <v/>
      </c>
      <c r="R20" s="12" t="inlineStr">
        <is>
          <t>Allogenik hucre tedavileri. Cok yuksek asimetri ($0.86 vs $11 hedef). Kisa nakit pisti riski.</t>
        </is>
      </c>
    </row>
    <row r="21" ht="15" customHeight="1" s="13">
      <c r="A21" s="12" t="inlineStr">
        <is>
          <t>GRC</t>
        </is>
      </c>
      <c r="B21" s="12" t="inlineStr">
        <is>
          <t>Gorman-Rupp Company</t>
        </is>
      </c>
      <c r="C21" s="12" t="inlineStr">
        <is>
          <t>2026-03-14</t>
        </is>
      </c>
      <c r="D21" s="12" t="inlineStr">
        <is>
          <t>Su &amp; Gıda &amp; İklim + AI &amp; Otomasyon</t>
        </is>
      </c>
      <c r="E21" s="12" t="inlineStr">
        <is>
          <t>Katman 2: Bilesen/Alt Sistem</t>
        </is>
      </c>
      <c r="F21" s="12" t="n">
        <v>0.7</v>
      </c>
      <c r="G21" s="12" t="inlineStr">
        <is>
          <t>Backlog %18.4 artarak $244M; CEO+CFO insider buying (Sub 2026)</t>
        </is>
      </c>
      <c r="H21" s="12" t="n">
        <v>3</v>
      </c>
      <c r="I21" s="12" t="n">
        <v>3</v>
      </c>
      <c r="J21" s="12" t="n">
        <v>3</v>
      </c>
      <c r="K21" s="12" t="n">
        <v>3</v>
      </c>
      <c r="L21" s="12" t="n">
        <v>3</v>
      </c>
      <c r="M21" s="12" t="n">
        <v>3</v>
      </c>
      <c r="N21" s="12" t="n">
        <v>3</v>
      </c>
      <c r="O21" s="15">
        <f>IF(H21="","",SUM(H21:N21))</f>
        <v/>
      </c>
      <c r="P21" s="16">
        <f>IF(O21="","",IF(O21&gt;=25,"🚀 DEEP DIVE",IF(O21&gt;=18,"🟡 WATCHLIST","🔴 PASS")))</f>
        <v/>
      </c>
      <c r="R21" s="12" t="inlineStr">
        <is>
          <t>Endustriyel pompalar. Veri merkezi sogutma + su yonetimi. Koordineli insider alis sinyali.</t>
        </is>
      </c>
    </row>
    <row r="22" ht="15" customHeight="1" s="13">
      <c r="A22" s="12" t="inlineStr">
        <is>
          <t>MP</t>
        </is>
      </c>
      <c r="B22" s="12" t="inlineStr">
        <is>
          <t>MP Materials</t>
        </is>
      </c>
      <c r="C22" s="12" t="inlineStr">
        <is>
          <t>2026-03-14</t>
        </is>
      </c>
      <c r="D22" s="12" t="inlineStr">
        <is>
          <t>Robotik + Enerji Geçişi + Savunma</t>
        </is>
      </c>
      <c r="E22" s="12" t="inlineStr">
        <is>
          <t>Katman 3: Malzeme/Ekipman</t>
        </is>
      </c>
      <c r="F22" s="12" t="n">
        <v>3</v>
      </c>
      <c r="G22" s="12" t="inlineStr">
        <is>
          <t>Batinin en buyuk nadir toprak uretimi; robot motoru miknatislari icin kritik</t>
        </is>
      </c>
      <c r="H22" s="12" t="n">
        <v>4</v>
      </c>
      <c r="I22" s="12" t="n">
        <v>3</v>
      </c>
      <c r="J22" s="12" t="n">
        <v>3</v>
      </c>
      <c r="K22" s="12" t="n">
        <v>3</v>
      </c>
      <c r="L22" s="12" t="n">
        <v>3</v>
      </c>
      <c r="M22" s="12" t="n">
        <v>3</v>
      </c>
      <c r="N22" s="12" t="n">
        <v>2</v>
      </c>
      <c r="O22" s="15">
        <f>IF(H22="","",SUM(H22:N22))</f>
        <v/>
      </c>
      <c r="P22" s="16">
        <f>IF(O22="","",IF(O22&gt;=25,"🚀 DEEP DIVE",IF(O22&gt;=18,"🟡 WATCHLIST","🔴 PASS")))</f>
        <v/>
      </c>
      <c r="R22" s="12" t="inlineStr">
        <is>
          <t>Pentagon ABD yapimi robot istiyorsa MP'nin miknatislarina ihtiyac var. Cin tekelinin kirilmasi.</t>
        </is>
      </c>
    </row>
    <row r="23" ht="15" customHeight="1" s="13">
      <c r="A23" s="12" t="inlineStr">
        <is>
          <t>PLPC</t>
        </is>
      </c>
      <c r="B23" s="12" t="inlineStr">
        <is>
          <t>Preformed Line Products</t>
        </is>
      </c>
      <c r="C23" s="12" t="inlineStr">
        <is>
          <t>2026-03-14</t>
        </is>
      </c>
      <c r="D23" s="12" t="inlineStr">
        <is>
          <t>Baglanti + Enerji Geçişi</t>
        </is>
      </c>
      <c r="E23" s="12" t="inlineStr">
        <is>
          <t>Katman 2: Bilesen/Alt Sistem</t>
        </is>
      </c>
      <c r="F23" s="12" t="n">
        <v>0.4</v>
      </c>
      <c r="G23" s="12" t="inlineStr">
        <is>
          <t>Q3 duzeltilmis net gelir %36 artis YoY; nakit akisi %102 artis</t>
        </is>
      </c>
      <c r="H23" s="12" t="n">
        <v>3</v>
      </c>
      <c r="I23" s="12" t="n">
        <v>3</v>
      </c>
      <c r="J23" s="12" t="n">
        <v>3</v>
      </c>
      <c r="K23" s="12" t="n">
        <v>3</v>
      </c>
      <c r="L23" s="12" t="n">
        <v>3</v>
      </c>
      <c r="M23" s="12" t="n">
        <v>3</v>
      </c>
      <c r="N23" s="12" t="n">
        <v>2</v>
      </c>
      <c r="O23" s="15">
        <f>IF(H23="","",SUM(H23:N23))</f>
        <v/>
      </c>
      <c r="P23" s="16">
        <f>IF(O23="","",IF(O23&gt;=25,"🚀 DEEP DIVE",IF(O23&gt;=18,"🟡 WATCHLIST","🔴 PASS")))</f>
        <v/>
      </c>
      <c r="R23" s="12" t="inlineStr">
        <is>
          <t>Enerji ve iletisim altyapisi. AI veri merkezi ve fiber optik genislemesinden faydalaniyor.</t>
        </is>
      </c>
    </row>
    <row r="24" ht="15" customHeight="1" s="13">
      <c r="A24" s="12" t="inlineStr">
        <is>
          <t>MYRG</t>
        </is>
      </c>
      <c r="B24" s="12" t="inlineStr">
        <is>
          <t>MYR Group</t>
        </is>
      </c>
      <c r="C24" s="12" t="inlineStr">
        <is>
          <t>2026-03-14</t>
        </is>
      </c>
      <c r="D24" s="12" t="inlineStr">
        <is>
          <t>AI &amp; Otomasyon + Enerji Geçişi</t>
        </is>
      </c>
      <c r="E24" s="12" t="inlineStr">
        <is>
          <t>Katman 2: Bilesen/Alt Sistem</t>
        </is>
      </c>
      <c r="F24" s="12" t="n">
        <v>2</v>
      </c>
      <c r="G24" s="12" t="inlineStr">
        <is>
          <t>Rekor $2.66B backlog; 2026 kar marji %5-7.5 genisleme beklentisi</t>
        </is>
      </c>
      <c r="H24" s="12" t="n">
        <v>4</v>
      </c>
      <c r="I24" s="12" t="n">
        <v>3</v>
      </c>
      <c r="J24" s="12" t="n">
        <v>3</v>
      </c>
      <c r="K24" s="12" t="n">
        <v>3</v>
      </c>
      <c r="L24" s="12" t="n">
        <v>3</v>
      </c>
      <c r="M24" s="12" t="n">
        <v>2</v>
      </c>
      <c r="N24" s="12" t="n">
        <v>2</v>
      </c>
      <c r="O24" s="15">
        <f>IF(H24="","",SUM(H24:N24))</f>
        <v/>
      </c>
      <c r="P24" s="16">
        <f>IF(O24="","",IF(O24&gt;=25,"🚀 DEEP DIVE",IF(O24&gt;=18,"🟡 WATCHLIST","🔴 PASS")))</f>
        <v/>
      </c>
      <c r="R24" s="12" t="inlineStr">
        <is>
          <t>Veri merkezleri icin elektrik muteahhitligi. AI veri merkezi insaatlarinin dogrudan faydalanıcisi.</t>
        </is>
      </c>
    </row>
    <row r="25" ht="15" customHeight="1" s="13">
      <c r="A25" s="12" t="inlineStr">
        <is>
          <t>EVTL</t>
        </is>
      </c>
      <c r="B25" s="12" t="inlineStr">
        <is>
          <t>Vertical Aerospace</t>
        </is>
      </c>
      <c r="C25" s="12" t="inlineStr">
        <is>
          <t>2026-03-14</t>
        </is>
      </c>
      <c r="D25" s="12" t="inlineStr">
        <is>
          <t>Otonom Mobilite (eVTOL)</t>
        </is>
      </c>
      <c r="E25" s="12" t="inlineStr">
        <is>
          <t>Katman 1: Son Urun/Sistem</t>
        </is>
      </c>
      <c r="F25" s="12" t="n">
        <v>0.3</v>
      </c>
      <c r="G25" s="12" t="inlineStr">
        <is>
          <t>Marubeni'den 200 adet Valo ucagi on siparisi (on odeme yapildi); Osaka demo hedefi</t>
        </is>
      </c>
      <c r="H25" s="12" t="n">
        <v>4</v>
      </c>
      <c r="I25" s="12" t="n">
        <v>3</v>
      </c>
      <c r="J25" s="12" t="n">
        <v>3</v>
      </c>
      <c r="K25" s="12" t="n">
        <v>3</v>
      </c>
      <c r="L25" s="12" t="n">
        <v>2</v>
      </c>
      <c r="M25" s="12" t="n">
        <v>2</v>
      </c>
      <c r="N25" s="12" t="n">
        <v>2</v>
      </c>
      <c r="O25" s="15">
        <f>IF(H25="","",SUM(H25:N25))</f>
        <v/>
      </c>
      <c r="P25" s="16">
        <f>IF(O25="","",IF(O25&gt;=25,"🚀 DEEP DIVE",IF(O25&gt;=18,"🟡 WATCHLIST","🔴 PASS")))</f>
        <v/>
      </c>
      <c r="R25" s="12" t="inlineStr">
        <is>
          <t>Sifir emisyonlu eVTOL. Dusuk piyasa degeri vs yuksek siparis kitabi asimetrisi.</t>
        </is>
      </c>
    </row>
    <row r="26" ht="15" customHeight="1" s="13">
      <c r="A26" s="12" t="inlineStr">
        <is>
          <t>LTBR</t>
        </is>
      </c>
      <c r="B26" s="12" t="inlineStr">
        <is>
          <t>Lightbridge Corp</t>
        </is>
      </c>
      <c r="C26" s="12" t="inlineStr">
        <is>
          <t>2026-03-14</t>
        </is>
      </c>
      <c r="D26" s="12" t="inlineStr">
        <is>
          <t>Enerji Geçişi</t>
        </is>
      </c>
      <c r="E26" s="12" t="inlineStr">
        <is>
          <t>Katman 2: Bilesen/Alt Sistem</t>
        </is>
      </c>
      <c r="F26" s="12" t="n">
        <v>0.3</v>
      </c>
      <c r="G26" s="12" t="inlineStr">
        <is>
          <t>Ileri nukleer yakit teknolojileri; mevcut reaktor verimliligi artirimi</t>
        </is>
      </c>
      <c r="H26" s="12" t="n">
        <v>4</v>
      </c>
      <c r="I26" s="12" t="n">
        <v>3</v>
      </c>
      <c r="J26" s="12" t="n">
        <v>3</v>
      </c>
      <c r="K26" s="12" t="n">
        <v>3</v>
      </c>
      <c r="L26" s="12" t="n">
        <v>2</v>
      </c>
      <c r="M26" s="12" t="n">
        <v>2</v>
      </c>
      <c r="N26" s="12" t="n">
        <v>2</v>
      </c>
      <c r="O26" s="15">
        <f>IF(H26="","",SUM(H26:N26))</f>
        <v/>
      </c>
      <c r="P26" s="16">
        <f>IF(O26="","",IF(O26&gt;=25,"🚀 DEEP DIVE",IF(O26&gt;=18,"🟡 WATCHLIST","🔴 PASS")))</f>
        <v/>
      </c>
      <c r="R26" s="12" t="inlineStr">
        <is>
          <t>Yeni reaktor insa etmeden mevcut kapasite artimi. SMR + geleneksel reaktorler uyumlu. Pre-revenue.</t>
        </is>
      </c>
    </row>
    <row r="27" ht="15" customHeight="1" s="13">
      <c r="O27" s="15">
        <f>IF(H27="","",SUM(H27:N27))</f>
        <v/>
      </c>
      <c r="P27" s="16">
        <f>IF(O27="","",IF(O27&gt;=25,"🚀 DEEP DIVE",IF(O27&gt;=18,"🟡 WATCHLIST","🔴 PASS")))</f>
        <v/>
      </c>
    </row>
    <row r="28" ht="15" customHeight="1" s="13">
      <c r="O28" s="15">
        <f>IF(H28="","",SUM(H28:N28))</f>
        <v/>
      </c>
      <c r="P28" s="16">
        <f>IF(O28="","",IF(O28&gt;=25,"🚀 DEEP DIVE",IF(O28&gt;=18,"🟡 WATCHLIST","🔴 PASS")))</f>
        <v/>
      </c>
    </row>
    <row r="29" ht="15" customHeight="1" s="13">
      <c r="O29" s="15">
        <f>IF(H29="","",SUM(H29:N29))</f>
        <v/>
      </c>
      <c r="P29" s="16">
        <f>IF(O29="","",IF(O29&gt;=25,"🚀 DEEP DIVE",IF(O29&gt;=18,"🟡 WATCHLIST","🔴 PASS")))</f>
        <v/>
      </c>
    </row>
    <row r="30" ht="15" customHeight="1" s="13">
      <c r="O30" s="15">
        <f>IF(H30="","",SUM(H30:N30))</f>
        <v/>
      </c>
      <c r="P30" s="16">
        <f>IF(O30="","",IF(O30&gt;=25,"🚀 DEEP DIVE",IF(O30&gt;=18,"🟡 WATCHLIST","🔴 PASS")))</f>
        <v/>
      </c>
    </row>
    <row r="31" ht="15" customHeight="1" s="13">
      <c r="O31" s="15">
        <f>IF(H31="","",SUM(H31:N31))</f>
        <v/>
      </c>
      <c r="P31" s="16">
        <f>IF(O31="","",IF(O31&gt;=25,"🚀 DEEP DIVE",IF(O31&gt;=18,"🟡 WATCHLIST","🔴 PASS")))</f>
        <v/>
      </c>
    </row>
    <row r="32" ht="15" customHeight="1" s="13">
      <c r="O32" s="15">
        <f>IF(H32="","",SUM(H32:N32))</f>
        <v/>
      </c>
      <c r="P32" s="16">
        <f>IF(O32="","",IF(O32&gt;=25,"🚀 DEEP DIVE",IF(O32&gt;=18,"🟡 WATCHLIST","🔴 PASS")))</f>
        <v/>
      </c>
    </row>
    <row r="33" ht="15" customHeight="1" s="13">
      <c r="O33" s="15">
        <f>IF(H33="","",SUM(H33:N33))</f>
        <v/>
      </c>
      <c r="P33" s="16">
        <f>IF(O33="","",IF(O33&gt;=25,"🚀 DEEP DIVE",IF(O33&gt;=18,"🟡 WATCHLIST","🔴 PASS")))</f>
        <v/>
      </c>
    </row>
    <row r="34" ht="15" customHeight="1" s="13">
      <c r="O34" s="15">
        <f>IF(H34="","",SUM(H34:N34))</f>
        <v/>
      </c>
      <c r="P34" s="16">
        <f>IF(O34="","",IF(O34&gt;=25,"🚀 DEEP DIVE",IF(O34&gt;=18,"🟡 WATCHLIST","🔴 PASS")))</f>
        <v/>
      </c>
    </row>
    <row r="35" ht="15" customHeight="1" s="13">
      <c r="O35" s="15">
        <f>IF(H35="","",SUM(H35:N35))</f>
        <v/>
      </c>
      <c r="P35" s="16">
        <f>IF(O35="","",IF(O35&gt;=25,"🚀 DEEP DIVE",IF(O35&gt;=18,"🟡 WATCHLIST","🔴 PASS")))</f>
        <v/>
      </c>
    </row>
    <row r="36" ht="15" customHeight="1" s="13">
      <c r="O36" s="15">
        <f>IF(H36="","",SUM(H36:N36))</f>
        <v/>
      </c>
      <c r="P36" s="16">
        <f>IF(O36="","",IF(O36&gt;=25,"🚀 DEEP DIVE",IF(O36&gt;=18,"🟡 WATCHLIST","🔴 PASS")))</f>
        <v/>
      </c>
    </row>
    <row r="37" ht="15" customHeight="1" s="13">
      <c r="O37" s="15">
        <f>IF(H37="","",SUM(H37:N37))</f>
        <v/>
      </c>
      <c r="P37" s="16">
        <f>IF(O37="","",IF(O37&gt;=25,"🚀 DEEP DIVE",IF(O37&gt;=18,"🟡 WATCHLIST","🔴 PASS")))</f>
        <v/>
      </c>
    </row>
    <row r="38" ht="15" customHeight="1" s="13">
      <c r="O38" s="15">
        <f>IF(H38="","",SUM(H38:N38))</f>
        <v/>
      </c>
      <c r="P38" s="16">
        <f>IF(O38="","",IF(O38&gt;=25,"🚀 DEEP DIVE",IF(O38&gt;=18,"🟡 WATCHLIST","🔴 PASS")))</f>
        <v/>
      </c>
    </row>
    <row r="39" ht="15" customHeight="1" s="13">
      <c r="O39" s="15">
        <f>IF(H39="","",SUM(H39:N39))</f>
        <v/>
      </c>
      <c r="P39" s="16">
        <f>IF(O39="","",IF(O39&gt;=25,"🚀 DEEP DIVE",IF(O39&gt;=18,"🟡 WATCHLIST","🔴 PASS")))</f>
        <v/>
      </c>
    </row>
    <row r="40" ht="15" customHeight="1" s="13">
      <c r="O40" s="15">
        <f>IF(H40="","",SUM(H40:N40))</f>
        <v/>
      </c>
      <c r="P40" s="16">
        <f>IF(O40="","",IF(O40&gt;=25,"🚀 DEEP DIVE",IF(O40&gt;=18,"🟡 WATCHLIST","🔴 PASS")))</f>
        <v/>
      </c>
    </row>
    <row r="41" ht="15" customHeight="1" s="13">
      <c r="O41" s="15">
        <f>IF(H41="","",SUM(H41:N41))</f>
        <v/>
      </c>
      <c r="P41" s="16">
        <f>IF(O41="","",IF(O41&gt;=25,"🚀 DEEP DIVE",IF(O41&gt;=18,"🟡 WATCHLIST","🔴 PASS")))</f>
        <v/>
      </c>
    </row>
    <row r="42" ht="15" customHeight="1" s="13">
      <c r="O42" s="15">
        <f>IF(H42="","",SUM(H42:N42))</f>
        <v/>
      </c>
      <c r="P42" s="16">
        <f>IF(O42="","",IF(O42&gt;=25,"🚀 DEEP DIVE",IF(O42&gt;=18,"🟡 WATCHLIST","🔴 PASS")))</f>
        <v/>
      </c>
    </row>
    <row r="43" ht="15" customHeight="1" s="13">
      <c r="O43" s="15">
        <f>IF(H43="","",SUM(H43:N43))</f>
        <v/>
      </c>
      <c r="P43" s="16">
        <f>IF(O43="","",IF(O43&gt;=25,"🚀 DEEP DIVE",IF(O43&gt;=18,"🟡 WATCHLIST","🔴 PASS")))</f>
        <v/>
      </c>
    </row>
    <row r="44" ht="15" customHeight="1" s="13">
      <c r="O44" s="15">
        <f>IF(H44="","",SUM(H44:N44))</f>
        <v/>
      </c>
      <c r="P44" s="16">
        <f>IF(O44="","",IF(O44&gt;=25,"🚀 DEEP DIVE",IF(O44&gt;=18,"🟡 WATCHLIST","🔴 PASS")))</f>
        <v/>
      </c>
    </row>
    <row r="45" ht="15" customHeight="1" s="13">
      <c r="O45" s="15">
        <f>IF(H45="","",SUM(H45:N45))</f>
        <v/>
      </c>
      <c r="P45" s="16">
        <f>IF(O45="","",IF(O45&gt;=25,"🚀 DEEP DIVE",IF(O45&gt;=18,"🟡 WATCHLIST","🔴 PASS")))</f>
        <v/>
      </c>
    </row>
    <row r="46" ht="15" customHeight="1" s="13">
      <c r="O46" s="15">
        <f>IF(H46="","",SUM(H46:N46))</f>
        <v/>
      </c>
      <c r="P46" s="16">
        <f>IF(O46="","",IF(O46&gt;=25,"🚀 DEEP DIVE",IF(O46&gt;=18,"🟡 WATCHLIST","🔴 PASS")))</f>
        <v/>
      </c>
    </row>
    <row r="47" ht="15" customHeight="1" s="13">
      <c r="O47" s="15">
        <f>IF(H47="","",SUM(H47:N47))</f>
        <v/>
      </c>
      <c r="P47" s="16">
        <f>IF(O47="","",IF(O47&gt;=25,"🚀 DEEP DIVE",IF(O47&gt;=18,"🟡 WATCHLIST","🔴 PASS")))</f>
        <v/>
      </c>
    </row>
    <row r="48" ht="15" customHeight="1" s="13">
      <c r="O48" s="15">
        <f>IF(H48="","",SUM(H48:N48))</f>
        <v/>
      </c>
      <c r="P48" s="16">
        <f>IF(O48="","",IF(O48&gt;=25,"🚀 DEEP DIVE",IF(O48&gt;=18,"🟡 WATCHLIST","🔴 PASS")))</f>
        <v/>
      </c>
    </row>
    <row r="49" ht="15" customHeight="1" s="13">
      <c r="O49" s="15">
        <f>IF(H49="","",SUM(H49:N49))</f>
        <v/>
      </c>
      <c r="P49" s="16">
        <f>IF(O49="","",IF(O49&gt;=25,"🚀 DEEP DIVE",IF(O49&gt;=18,"🟡 WATCHLIST","🔴 PASS")))</f>
        <v/>
      </c>
    </row>
    <row r="50" ht="15" customHeight="1" s="13">
      <c r="O50" s="15">
        <f>IF(H50="","",SUM(H50:N50))</f>
        <v/>
      </c>
      <c r="P50" s="16">
        <f>IF(O50="","",IF(O50&gt;=25,"🚀 DEEP DIVE",IF(O50&gt;=18,"🟡 WATCHLIST","🔴 PASS")))</f>
        <v/>
      </c>
    </row>
    <row r="51" ht="15" customHeight="1" s="13">
      <c r="O51" s="15">
        <f>IF(H51="","",SUM(H51:N51))</f>
        <v/>
      </c>
      <c r="P51" s="16">
        <f>IF(O51="","",IF(O51&gt;=25,"🚀 DEEP DIVE",IF(O51&gt;=18,"🟡 WATCHLIST","🔴 PASS")))</f>
        <v/>
      </c>
    </row>
    <row r="52" ht="15" customHeight="1" s="13">
      <c r="O52" s="15">
        <f>IF(H52="","",SUM(H52:N52))</f>
        <v/>
      </c>
      <c r="P52" s="16">
        <f>IF(O52="","",IF(O52&gt;=25,"🚀 DEEP DIVE",IF(O52&gt;=18,"🟡 WATCHLIST","🔴 PASS")))</f>
        <v/>
      </c>
    </row>
    <row r="53" ht="15" customHeight="1" s="13">
      <c r="O53" s="15">
        <f>IF(H53="","",SUM(H53:N53))</f>
        <v/>
      </c>
      <c r="P53" s="16">
        <f>IF(O53="","",IF(O53&gt;=25,"🚀 DEEP DIVE",IF(O53&gt;=18,"🟡 WATCHLIST","🔴 PASS")))</f>
        <v/>
      </c>
    </row>
    <row r="54" ht="15" customHeight="1" s="13">
      <c r="O54" s="15">
        <f>IF(H54="","",SUM(H54:N54))</f>
        <v/>
      </c>
      <c r="P54" s="16">
        <f>IF(O54="","",IF(O54&gt;=25,"🚀 DEEP DIVE",IF(O54&gt;=18,"🟡 WATCHLIST","🔴 PASS")))</f>
        <v/>
      </c>
    </row>
    <row r="55" ht="15" customHeight="1" s="13">
      <c r="O55" s="15">
        <f>IF(H55="","",SUM(H55:N55))</f>
        <v/>
      </c>
      <c r="P55" s="16">
        <f>IF(O55="","",IF(O55&gt;=25,"🚀 DEEP DIVE",IF(O55&gt;=18,"🟡 WATCHLIST","🔴 PASS")))</f>
        <v/>
      </c>
    </row>
    <row r="56" ht="15" customHeight="1" s="13">
      <c r="O56" s="15">
        <f>IF(H56="","",SUM(H56:N56))</f>
        <v/>
      </c>
      <c r="P56" s="16">
        <f>IF(O56="","",IF(O56&gt;=25,"🚀 DEEP DIVE",IF(O56&gt;=18,"🟡 WATCHLIST","🔴 PASS")))</f>
        <v/>
      </c>
    </row>
    <row r="57" ht="15" customHeight="1" s="13">
      <c r="O57" s="15">
        <f>IF(H57="","",SUM(H57:N57))</f>
        <v/>
      </c>
      <c r="P57" s="16">
        <f>IF(O57="","",IF(O57&gt;=25,"🚀 DEEP DIVE",IF(O57&gt;=18,"🟡 WATCHLIST","🔴 PASS")))</f>
        <v/>
      </c>
    </row>
    <row r="58" ht="15" customHeight="1" s="13">
      <c r="O58" s="15">
        <f>IF(H58="","",SUM(H58:N58))</f>
        <v/>
      </c>
      <c r="P58" s="16">
        <f>IF(O58="","",IF(O58&gt;=25,"🚀 DEEP DIVE",IF(O58&gt;=18,"🟡 WATCHLIST","🔴 PASS")))</f>
        <v/>
      </c>
    </row>
    <row r="59" ht="15" customHeight="1" s="13">
      <c r="O59" s="15">
        <f>IF(H59="","",SUM(H59:N59))</f>
        <v/>
      </c>
      <c r="P59" s="16">
        <f>IF(O59="","",IF(O59&gt;=25,"🚀 DEEP DIVE",IF(O59&gt;=18,"🟡 WATCHLIST","🔴 PASS")))</f>
        <v/>
      </c>
    </row>
    <row r="60" ht="15" customHeight="1" s="13">
      <c r="O60" s="15">
        <f>IF(H60="","",SUM(H60:N60))</f>
        <v/>
      </c>
      <c r="P60" s="16">
        <f>IF(O60="","",IF(O60&gt;=25,"🚀 DEEP DIVE",IF(O60&gt;=18,"🟡 WATCHLIST","🔴 PASS")))</f>
        <v/>
      </c>
    </row>
    <row r="61" ht="15" customHeight="1" s="13">
      <c r="O61" s="15">
        <f>IF(H61="","",SUM(H61:N61))</f>
        <v/>
      </c>
      <c r="P61" s="16">
        <f>IF(O61="","",IF(O61&gt;=25,"🚀 DEEP DIVE",IF(O61&gt;=18,"🟡 WATCHLIST","🔴 PASS")))</f>
        <v/>
      </c>
    </row>
    <row r="62" ht="15" customHeight="1" s="13">
      <c r="O62" s="15">
        <f>IF(H62="","",SUM(H62:N62))</f>
        <v/>
      </c>
      <c r="P62" s="16">
        <f>IF(O62="","",IF(O62&gt;=25,"🚀 DEEP DIVE",IF(O62&gt;=18,"🟡 WATCHLIST","🔴 PASS")))</f>
        <v/>
      </c>
    </row>
    <row r="63" ht="15" customHeight="1" s="13">
      <c r="O63" s="15">
        <f>IF(H63="","",SUM(H63:N63))</f>
        <v/>
      </c>
      <c r="P63" s="16">
        <f>IF(O63="","",IF(O63&gt;=25,"🚀 DEEP DIVE",IF(O63&gt;=18,"🟡 WATCHLIST","🔴 PASS")))</f>
        <v/>
      </c>
    </row>
    <row r="64" ht="15" customHeight="1" s="13">
      <c r="O64" s="15">
        <f>IF(H64="","",SUM(H64:N64))</f>
        <v/>
      </c>
      <c r="P64" s="16">
        <f>IF(O64="","",IF(O64&gt;=25,"🚀 DEEP DIVE",IF(O64&gt;=18,"🟡 WATCHLIST","🔴 PASS")))</f>
        <v/>
      </c>
    </row>
    <row r="65" ht="15" customHeight="1" s="13">
      <c r="O65" s="15">
        <f>IF(H65="","",SUM(H65:N65))</f>
        <v/>
      </c>
      <c r="P65" s="16">
        <f>IF(O65="","",IF(O65&gt;=25,"🚀 DEEP DIVE",IF(O65&gt;=18,"🟡 WATCHLIST","🔴 PASS")))</f>
        <v/>
      </c>
    </row>
    <row r="66" ht="15" customHeight="1" s="13">
      <c r="O66" s="15">
        <f>IF(H66="","",SUM(H66:N66))</f>
        <v/>
      </c>
      <c r="P66" s="16">
        <f>IF(O66="","",IF(O66&gt;=25,"🚀 DEEP DIVE",IF(O66&gt;=18,"🟡 WATCHLIST","🔴 PASS")))</f>
        <v/>
      </c>
    </row>
    <row r="67" ht="15" customHeight="1" s="13">
      <c r="O67" s="15">
        <f>IF(H67="","",SUM(H67:N67))</f>
        <v/>
      </c>
      <c r="P67" s="16">
        <f>IF(O67="","",IF(O67&gt;=25,"🚀 DEEP DIVE",IF(O67&gt;=18,"🟡 WATCHLIST","🔴 PASS")))</f>
        <v/>
      </c>
    </row>
    <row r="68" ht="15" customHeight="1" s="13">
      <c r="O68" s="15">
        <f>IF(H68="","",SUM(H68:N68))</f>
        <v/>
      </c>
      <c r="P68" s="16">
        <f>IF(O68="","",IF(O68&gt;=25,"🚀 DEEP DIVE",IF(O68&gt;=18,"🟡 WATCHLIST","🔴 PASS")))</f>
        <v/>
      </c>
    </row>
    <row r="69" ht="15" customHeight="1" s="13">
      <c r="O69" s="15">
        <f>IF(H69="","",SUM(H69:N69))</f>
        <v/>
      </c>
      <c r="P69" s="16">
        <f>IF(O69="","",IF(O69&gt;=25,"🚀 DEEP DIVE",IF(O69&gt;=18,"🟡 WATCHLIST","🔴 PASS")))</f>
        <v/>
      </c>
    </row>
    <row r="70" ht="15" customHeight="1" s="13">
      <c r="O70" s="15">
        <f>IF(H70="","",SUM(H70:N70))</f>
        <v/>
      </c>
      <c r="P70" s="16">
        <f>IF(O70="","",IF(O70&gt;=25,"🚀 DEEP DIVE",IF(O70&gt;=18,"🟡 WATCHLIST","🔴 PASS")))</f>
        <v/>
      </c>
    </row>
    <row r="71" ht="15" customHeight="1" s="13">
      <c r="O71" s="15">
        <f>IF(H71="","",SUM(H71:N71))</f>
        <v/>
      </c>
      <c r="P71" s="16">
        <f>IF(O71="","",IF(O71&gt;=25,"🚀 DEEP DIVE",IF(O71&gt;=18,"🟡 WATCHLIST","🔴 PASS")))</f>
        <v/>
      </c>
    </row>
    <row r="72" ht="15" customHeight="1" s="13">
      <c r="O72" s="15">
        <f>IF(H72="","",SUM(H72:N72))</f>
        <v/>
      </c>
      <c r="P72" s="16">
        <f>IF(O72="","",IF(O72&gt;=25,"🚀 DEEP DIVE",IF(O72&gt;=18,"🟡 WATCHLIST","🔴 PASS")))</f>
        <v/>
      </c>
    </row>
    <row r="73" ht="15" customHeight="1" s="13">
      <c r="O73" s="15">
        <f>IF(H73="","",SUM(H73:N73))</f>
        <v/>
      </c>
      <c r="P73" s="16">
        <f>IF(O73="","",IF(O73&gt;=25,"🚀 DEEP DIVE",IF(O73&gt;=18,"🟡 WATCHLIST","🔴 PASS")))</f>
        <v/>
      </c>
    </row>
    <row r="74" ht="15" customHeight="1" s="13">
      <c r="O74" s="15">
        <f>IF(H74="","",SUM(H74:N74))</f>
        <v/>
      </c>
      <c r="P74" s="16">
        <f>IF(O74="","",IF(O74&gt;=25,"🚀 DEEP DIVE",IF(O74&gt;=18,"🟡 WATCHLIST","🔴 PASS")))</f>
        <v/>
      </c>
    </row>
    <row r="75" ht="15" customHeight="1" s="13">
      <c r="O75" s="15">
        <f>IF(H75="","",SUM(H75:N75))</f>
        <v/>
      </c>
      <c r="P75" s="16">
        <f>IF(O75="","",IF(O75&gt;=25,"🚀 DEEP DIVE",IF(O75&gt;=18,"🟡 WATCHLIST","🔴 PASS")))</f>
        <v/>
      </c>
    </row>
    <row r="76" ht="15" customHeight="1" s="13">
      <c r="O76" s="15">
        <f>IF(H76="","",SUM(H76:N76))</f>
        <v/>
      </c>
      <c r="P76" s="16">
        <f>IF(O76="","",IF(O76&gt;=25,"🚀 DEEP DIVE",IF(O76&gt;=18,"🟡 WATCHLIST","🔴 PASS")))</f>
        <v/>
      </c>
    </row>
    <row r="77" ht="15" customHeight="1" s="13">
      <c r="O77" s="15">
        <f>IF(H77="","",SUM(H77:N77))</f>
        <v/>
      </c>
      <c r="P77" s="16">
        <f>IF(O77="","",IF(O77&gt;=25,"🚀 DEEP DIVE",IF(O77&gt;=18,"🟡 WATCHLIST","🔴 PASS")))</f>
        <v/>
      </c>
    </row>
    <row r="78" ht="15" customHeight="1" s="13">
      <c r="O78" s="15">
        <f>IF(H78="","",SUM(H78:N78))</f>
        <v/>
      </c>
      <c r="P78" s="16">
        <f>IF(O78="","",IF(O78&gt;=25,"🚀 DEEP DIVE",IF(O78&gt;=18,"🟡 WATCHLIST","🔴 PASS")))</f>
        <v/>
      </c>
    </row>
    <row r="79" ht="15" customHeight="1" s="13">
      <c r="O79" s="15">
        <f>IF(H79="","",SUM(H79:N79))</f>
        <v/>
      </c>
      <c r="P79" s="16">
        <f>IF(O79="","",IF(O79&gt;=25,"🚀 DEEP DIVE",IF(O79&gt;=18,"🟡 WATCHLIST","🔴 PASS")))</f>
        <v/>
      </c>
    </row>
    <row r="80" ht="15" customHeight="1" s="13">
      <c r="O80" s="15">
        <f>IF(H80="","",SUM(H80:N80))</f>
        <v/>
      </c>
      <c r="P80" s="16">
        <f>IF(O80="","",IF(O80&gt;=25,"🚀 DEEP DIVE",IF(O80&gt;=18,"🟡 WATCHLIST","🔴 PASS")))</f>
        <v/>
      </c>
    </row>
    <row r="81" ht="15" customHeight="1" s="13">
      <c r="O81" s="15">
        <f>IF(H81="","",SUM(H81:N81))</f>
        <v/>
      </c>
      <c r="P81" s="16">
        <f>IF(O81="","",IF(O81&gt;=25,"🚀 DEEP DIVE",IF(O81&gt;=18,"🟡 WATCHLIST","🔴 PASS")))</f>
        <v/>
      </c>
    </row>
    <row r="82" ht="15" customHeight="1" s="13">
      <c r="O82" s="15">
        <f>IF(H82="","",SUM(H82:N82))</f>
        <v/>
      </c>
      <c r="P82" s="16">
        <f>IF(O82="","",IF(O82&gt;=25,"🚀 DEEP DIVE",IF(O82&gt;=18,"🟡 WATCHLIST","🔴 PASS")))</f>
        <v/>
      </c>
    </row>
    <row r="83" ht="15" customHeight="1" s="13">
      <c r="O83" s="15">
        <f>IF(H83="","",SUM(H83:N83))</f>
        <v/>
      </c>
      <c r="P83" s="16">
        <f>IF(O83="","",IF(O83&gt;=25,"🚀 DEEP DIVE",IF(O83&gt;=18,"🟡 WATCHLIST","🔴 PASS")))</f>
        <v/>
      </c>
    </row>
    <row r="84" ht="15" customHeight="1" s="13">
      <c r="O84" s="15">
        <f>IF(H84="","",SUM(H84:N84))</f>
        <v/>
      </c>
      <c r="P84" s="16">
        <f>IF(O84="","",IF(O84&gt;=25,"🚀 DEEP DIVE",IF(O84&gt;=18,"🟡 WATCHLIST","🔴 PASS")))</f>
        <v/>
      </c>
    </row>
    <row r="85" ht="15" customHeight="1" s="13">
      <c r="O85" s="15">
        <f>IF(H85="","",SUM(H85:N85))</f>
        <v/>
      </c>
      <c r="P85" s="16">
        <f>IF(O85="","",IF(O85&gt;=25,"🚀 DEEP DIVE",IF(O85&gt;=18,"🟡 WATCHLIST","🔴 PASS")))</f>
        <v/>
      </c>
    </row>
    <row r="86" ht="15" customHeight="1" s="13">
      <c r="O86" s="15">
        <f>IF(H86="","",SUM(H86:N86))</f>
        <v/>
      </c>
      <c r="P86" s="16">
        <f>IF(O86="","",IF(O86&gt;=25,"🚀 DEEP DIVE",IF(O86&gt;=18,"🟡 WATCHLIST","🔴 PASS")))</f>
        <v/>
      </c>
    </row>
    <row r="87" ht="15" customHeight="1" s="13">
      <c r="O87" s="15">
        <f>IF(H87="","",SUM(H87:N87))</f>
        <v/>
      </c>
      <c r="P87" s="16">
        <f>IF(O87="","",IF(O87&gt;=25,"🚀 DEEP DIVE",IF(O87&gt;=18,"🟡 WATCHLIST","🔴 PASS")))</f>
        <v/>
      </c>
    </row>
    <row r="88" ht="15" customHeight="1" s="13">
      <c r="O88" s="15">
        <f>IF(H88="","",SUM(H88:N88))</f>
        <v/>
      </c>
      <c r="P88" s="16">
        <f>IF(O88="","",IF(O88&gt;=25,"🚀 DEEP DIVE",IF(O88&gt;=18,"🟡 WATCHLIST","🔴 PASS")))</f>
        <v/>
      </c>
    </row>
    <row r="89" ht="15" customHeight="1" s="13">
      <c r="O89" s="15">
        <f>IF(H89="","",SUM(H89:N89))</f>
        <v/>
      </c>
      <c r="P89" s="16">
        <f>IF(O89="","",IF(O89&gt;=25,"🚀 DEEP DIVE",IF(O89&gt;=18,"🟡 WATCHLIST","🔴 PASS")))</f>
        <v/>
      </c>
    </row>
    <row r="90" ht="15" customHeight="1" s="13">
      <c r="O90" s="15">
        <f>IF(H90="","",SUM(H90:N90))</f>
        <v/>
      </c>
      <c r="P90" s="16">
        <f>IF(O90="","",IF(O90&gt;=25,"🚀 DEEP DIVE",IF(O90&gt;=18,"🟡 WATCHLIST","🔴 PASS")))</f>
        <v/>
      </c>
    </row>
    <row r="91" ht="15" customHeight="1" s="13">
      <c r="O91" s="15">
        <f>IF(H91="","",SUM(H91:N91))</f>
        <v/>
      </c>
      <c r="P91" s="16">
        <f>IF(O91="","",IF(O91&gt;=25,"🚀 DEEP DIVE",IF(O91&gt;=18,"🟡 WATCHLIST","🔴 PASS")))</f>
        <v/>
      </c>
    </row>
    <row r="92" ht="15" customHeight="1" s="13">
      <c r="O92" s="15">
        <f>IF(H92="","",SUM(H92:N92))</f>
        <v/>
      </c>
      <c r="P92" s="16">
        <f>IF(O92="","",IF(O92&gt;=25,"🚀 DEEP DIVE",IF(O92&gt;=18,"🟡 WATCHLIST","🔴 PASS")))</f>
        <v/>
      </c>
    </row>
    <row r="93" ht="15" customHeight="1" s="13">
      <c r="O93" s="15">
        <f>IF(H93="","",SUM(H93:N93))</f>
        <v/>
      </c>
      <c r="P93" s="16">
        <f>IF(O93="","",IF(O93&gt;=25,"🚀 DEEP DIVE",IF(O93&gt;=18,"🟡 WATCHLIST","🔴 PASS")))</f>
        <v/>
      </c>
    </row>
    <row r="94" ht="15" customHeight="1" s="13">
      <c r="O94" s="15">
        <f>IF(H94="","",SUM(H94:N94))</f>
        <v/>
      </c>
      <c r="P94" s="16">
        <f>IF(O94="","",IF(O94&gt;=25,"🚀 DEEP DIVE",IF(O94&gt;=18,"🟡 WATCHLIST","🔴 PASS")))</f>
        <v/>
      </c>
    </row>
    <row r="95" ht="15" customHeight="1" s="13">
      <c r="O95" s="15">
        <f>IF(H95="","",SUM(H95:N95))</f>
        <v/>
      </c>
      <c r="P95" s="16">
        <f>IF(O95="","",IF(O95&gt;=25,"🚀 DEEP DIVE",IF(O95&gt;=18,"🟡 WATCHLIST","🔴 PASS")))</f>
        <v/>
      </c>
    </row>
    <row r="96" ht="15" customHeight="1" s="13">
      <c r="O96" s="15">
        <f>IF(H96="","",SUM(H96:N96))</f>
        <v/>
      </c>
      <c r="P96" s="16">
        <f>IF(O96="","",IF(O96&gt;=25,"🚀 DEEP DIVE",IF(O96&gt;=18,"🟡 WATCHLIST","🔴 PASS")))</f>
        <v/>
      </c>
    </row>
    <row r="97" ht="15" customHeight="1" s="13">
      <c r="O97" s="15">
        <f>IF(H97="","",SUM(H97:N97))</f>
        <v/>
      </c>
      <c r="P97" s="16">
        <f>IF(O97="","",IF(O97&gt;=25,"🚀 DEEP DIVE",IF(O97&gt;=18,"🟡 WATCHLIST","🔴 PASS")))</f>
        <v/>
      </c>
    </row>
    <row r="98" ht="15" customHeight="1" s="13">
      <c r="O98" s="15">
        <f>IF(H98="","",SUM(H98:N98))</f>
        <v/>
      </c>
      <c r="P98" s="16">
        <f>IF(O98="","",IF(O98&gt;=25,"🚀 DEEP DIVE",IF(O98&gt;=18,"🟡 WATCHLIST","🔴 PASS")))</f>
        <v/>
      </c>
    </row>
    <row r="99" ht="15" customHeight="1" s="13">
      <c r="O99" s="15">
        <f>IF(H99="","",SUM(H99:N99))</f>
        <v/>
      </c>
      <c r="P99" s="16">
        <f>IF(O99="","",IF(O99&gt;=25,"🚀 DEEP DIVE",IF(O99&gt;=18,"🟡 WATCHLIST","🔴 PASS")))</f>
        <v/>
      </c>
    </row>
    <row r="100" ht="15" customHeight="1" s="13">
      <c r="O100" s="15">
        <f>IF(H100="","",SUM(H100:N100))</f>
        <v/>
      </c>
      <c r="P100" s="16">
        <f>IF(O100="","",IF(O100&gt;=25,"🚀 DEEP DIVE",IF(O100&gt;=18,"🟡 WATCHLIST","🔴 PASS")))</f>
        <v/>
      </c>
    </row>
  </sheetData>
  <autoFilter ref="A1:R1"/>
  <conditionalFormatting sqref="O2:O100">
    <cfRule type="cellIs" rank="0" priority="2" equalAverage="0" operator="greaterThanOrEqual" aboveAverage="0" dxfId="2" text="" percent="0" bottom="0">
      <formula>25</formula>
    </cfRule>
    <cfRule type="cellIs" rank="0" priority="3" equalAverage="0" operator="between" aboveAverage="0" dxfId="3" text="" percent="0" bottom="0">
      <formula>18</formula>
      <formula>24</formula>
    </cfRule>
    <cfRule type="cellIs" rank="0" priority="4" equalAverage="0" operator="lessThan" aboveAverage="0" dxfId="4" text="" percent="0" bottom="0">
      <formula>18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2" min="1" max="1"/>
    <col width="22" customWidth="1" style="12" min="2" max="2"/>
    <col width="12" customWidth="1" style="12" min="3" max="3"/>
    <col width="20" customWidth="1" style="12" min="4" max="4"/>
    <col width="12" customWidth="1" style="12" min="5" max="5"/>
    <col width="8" customWidth="1" style="12" min="6" max="17"/>
    <col width="16" customWidth="1" style="12" min="18" max="18"/>
    <col width="12" customWidth="1" style="12" min="19" max="19"/>
    <col width="8" customWidth="1" style="12" min="20" max="20"/>
    <col width="25" customWidth="1" style="12" min="21" max="22"/>
    <col width="7" customWidth="1" style="12" min="23" max="25"/>
    <col width="30" customWidth="1" style="12" min="26" max="26"/>
  </cols>
  <sheetData>
    <row r="1" ht="45" customHeight="1" s="13">
      <c r="A1" s="14" t="inlineStr">
        <is>
          <t>Ticker</t>
        </is>
      </c>
      <c r="B1" s="14" t="inlineStr">
        <is>
          <t>Şirket</t>
        </is>
      </c>
      <c r="C1" s="14" t="inlineStr">
        <is>
          <t>Analiz Tarihi</t>
        </is>
      </c>
      <c r="D1" s="14" t="inlineStr">
        <is>
          <t>Megatrend(ler)</t>
        </is>
      </c>
      <c r="E1" s="14" t="inlineStr">
        <is>
          <t>Tedarik
Katmanı</t>
        </is>
      </c>
      <c r="F1" s="14" t="inlineStr">
        <is>
          <t>Mkt Cap
($B)</t>
        </is>
      </c>
      <c r="G1" s="14" t="inlineStr">
        <is>
          <t>Fiyat ($)</t>
        </is>
      </c>
      <c r="H1" s="14" t="inlineStr">
        <is>
          <t>D1
(0-100)</t>
        </is>
      </c>
      <c r="I1" s="14" t="inlineStr">
        <is>
          <t>D2
(0-100)</t>
        </is>
      </c>
      <c r="J1" s="14" t="inlineStr">
        <is>
          <t>D3
(0-100)</t>
        </is>
      </c>
      <c r="K1" s="14" t="inlineStr">
        <is>
          <t>D4
(0-100)</t>
        </is>
      </c>
      <c r="L1" s="14" t="inlineStr">
        <is>
          <t>D5
(0-100)</t>
        </is>
      </c>
      <c r="M1" s="14" t="inlineStr">
        <is>
          <t>D6
(0-100)</t>
        </is>
      </c>
      <c r="N1" s="14" t="inlineStr">
        <is>
          <t>D7
(0-100)</t>
        </is>
      </c>
      <c r="O1" s="14" t="inlineStr">
        <is>
          <t>Raw
Score</t>
        </is>
      </c>
      <c r="P1" s="14" t="inlineStr">
        <is>
          <t>Knockout
Adj.</t>
        </is>
      </c>
      <c r="Q1" s="14" t="inlineStr">
        <is>
          <t>Final
Score</t>
        </is>
      </c>
      <c r="R1" s="14" t="inlineStr">
        <is>
          <t>Verdict</t>
        </is>
      </c>
      <c r="S1" s="14" t="inlineStr">
        <is>
          <t>Risk
Profile</t>
        </is>
      </c>
      <c r="T1" s="14" t="inlineStr">
        <is>
          <t>Position
%</t>
        </is>
      </c>
      <c r="U1" s="14" t="inlineStr">
        <is>
          <t>Key Catalyst</t>
        </is>
      </c>
      <c r="V1" s="14" t="inlineStr">
        <is>
          <t>Top Risk</t>
        </is>
      </c>
      <c r="W1" s="14" t="inlineStr">
        <is>
          <t>Bull 5Y
x</t>
        </is>
      </c>
      <c r="X1" s="14" t="inlineStr">
        <is>
          <t>Base 5Y
x</t>
        </is>
      </c>
      <c r="Y1" s="14" t="inlineStr">
        <is>
          <t>Bear 5Y
x</t>
        </is>
      </c>
      <c r="Z1" s="14" t="inlineStr">
        <is>
          <t>Notlar</t>
        </is>
      </c>
    </row>
    <row r="2" ht="15" customHeight="1" s="13">
      <c r="A2" s="12" t="inlineStr">
        <is>
          <t>SKYT</t>
        </is>
      </c>
      <c r="B2" s="12" t="inlineStr">
        <is>
          <t>SkyWater Technology</t>
        </is>
      </c>
      <c r="C2" s="12" t="inlineStr">
        <is>
          <t>2026-03-14</t>
        </is>
      </c>
      <c r="D2" s="12" t="inlineStr">
        <is>
          <t>AI &amp; Otomasyon + Quantum + Savunma</t>
        </is>
      </c>
      <c r="E2" s="12" t="inlineStr">
        <is>
          <t>Katman 3: Malzeme/Ekipman</t>
        </is>
      </c>
      <c r="F2" s="12" t="n">
        <v>1.4</v>
      </c>
      <c r="G2" s="12" t="n">
        <v>28.82</v>
      </c>
      <c r="H2" s="12" t="n">
        <v>82</v>
      </c>
      <c r="I2" s="12" t="n">
        <v>67</v>
      </c>
      <c r="J2" s="12" t="n">
        <v>72</v>
      </c>
      <c r="K2" s="12" t="n">
        <v>52</v>
      </c>
      <c r="L2" s="12" t="n">
        <v>66</v>
      </c>
      <c r="M2" s="12" t="n">
        <v>65</v>
      </c>
      <c r="N2" s="12" t="n">
        <v>59</v>
      </c>
      <c r="O2" s="17">
        <f>IF(H2="","",(H2*0.2)+(I2*0.2)+(J2*0.15)+(K2*0.15)+(L2*0.12)+(M2*0.08)+(N2*0.1))</f>
        <v/>
      </c>
      <c r="P2" s="12" t="n">
        <v>8</v>
      </c>
      <c r="Q2" s="18">
        <f>IF(O2="","",MIN(100,MAX(0,O2+P2)))</f>
        <v/>
      </c>
      <c r="R2" s="16">
        <f>IF(Q2="","",IF(Q2&gt;=80,"🚀 MOONSHOT BUY",IF(Q2&gt;=65,"🟢 HIGH CONVICTION",IF(Q2&gt;=50,"🟡 SPECULATIVE WATCH",IF(Q2&gt;=35,"🟠 TOO EARLY","🔴 PASS")))))</f>
        <v/>
      </c>
      <c r="S2" s="12" t="inlineStr">
        <is>
          <t>Moderate Moonshot</t>
        </is>
      </c>
      <c r="T2" s="12" t="inlineStr">
        <is>
          <t>1-2%</t>
        </is>
      </c>
      <c r="U2" s="12" t="inlineStr">
        <is>
          <t>IonQ deal kapanisi Q2-Q3 2026</t>
        </is>
      </c>
      <c r="V2" s="12" t="inlineStr">
        <is>
          <t>Deal bozulma riski + negatif nakit akisi</t>
        </is>
      </c>
      <c r="W2" s="12" t="n">
        <v>1.2</v>
      </c>
      <c r="X2" s="12" t="n">
        <v>0.9</v>
      </c>
      <c r="Y2" s="12" t="n">
        <v>0.55</v>
      </c>
      <c r="Z2" s="12" t="inlineStr">
        <is>
          <t>IonQ $35/hisse satin alma = %21 merger arb. 3 megatrend kesisimi (AI+Quantum+Defense). FY2025 rekor $442M gelir. CHIPS Act destegi.</t>
        </is>
      </c>
    </row>
    <row r="3" ht="15" customHeight="1" s="13">
      <c r="A3" s="12" t="inlineStr">
        <is>
          <t>RCAT</t>
        </is>
      </c>
      <c r="B3" s="12" t="inlineStr">
        <is>
          <t>Red Cat Holdings</t>
        </is>
      </c>
      <c r="C3" s="12" t="inlineStr">
        <is>
          <t>2026-03-15</t>
        </is>
      </c>
      <c r="D3" s="12" t="inlineStr">
        <is>
          <t>Savunma &amp; Jeopolitik</t>
        </is>
      </c>
      <c r="E3" s="12" t="inlineStr">
        <is>
          <t>Agresif Moonshot</t>
        </is>
      </c>
      <c r="F3" s="12" t="inlineStr">
        <is>
          <t>$1.75B</t>
        </is>
      </c>
      <c r="G3" s="12" t="inlineStr">
        <is>
          <t>$16.16</t>
        </is>
      </c>
      <c r="H3" s="12" t="n">
        <v>83</v>
      </c>
      <c r="I3" s="12" t="n">
        <v>69</v>
      </c>
      <c r="J3" s="12" t="n">
        <v>75</v>
      </c>
      <c r="K3" s="12" t="n">
        <v>54</v>
      </c>
      <c r="L3" s="12" t="n">
        <v>73</v>
      </c>
      <c r="M3" s="12" t="n">
        <v>62</v>
      </c>
      <c r="N3" s="12" t="n">
        <v>54</v>
      </c>
      <c r="O3" s="17">
        <f>ROUND((H3*0.2)+(I3*0.2)+(J3*0.15)+(K3*0.15)+(L3*0.12)+(M3*0.08)+(N3*0.1),2)</f>
        <v/>
      </c>
      <c r="P3" s="12" t="n">
        <v>3</v>
      </c>
      <c r="Q3" s="18">
        <f>MIN(100,MAX(0,O3+P3))</f>
        <v/>
      </c>
      <c r="R3" s="16">
        <f>IF(Q3&gt;=80,"🚀 MOONSHOT BUY",IF(Q3&gt;=65,"🟢 HIGH CONVICTION",IF(Q3&gt;=50,"🟡 SPECULATIVE",IF(Q3&gt;=35,"🟠 TOO EARLY","🔴 PASS"))))</f>
        <v/>
      </c>
      <c r="S3" s="12" t="inlineStr">
        <is>
          <t>Drone Dominance Program ödülleri</t>
        </is>
      </c>
      <c r="T3" s="12" t="inlineStr">
        <is>
          <t>Brüt marj sürdürülebilirliği</t>
        </is>
      </c>
      <c r="U3" s="12" t="inlineStr">
        <is>
          <t>0.5-1%</t>
        </is>
      </c>
      <c r="V3" s="12" t="inlineStr">
        <is>
          <t>Yüksek</t>
        </is>
      </c>
      <c r="W3" s="12" t="inlineStr">
        <is>
          <t>22.26%</t>
        </is>
      </c>
      <c r="X3" s="12" t="inlineStr">
        <is>
          <t>4/0</t>
        </is>
      </c>
      <c r="Y3" s="12" t="inlineStr">
        <is>
          <t>DJI yasağı faydalanıcısı, Army SRR kazananı, %22 short interest, Fuzzy Panda endişeleri</t>
        </is>
      </c>
    </row>
    <row r="4" ht="15" customHeight="1" s="13">
      <c r="A4" s="19" t="inlineStr">
        <is>
          <t>NNE</t>
        </is>
      </c>
      <c r="B4" s="19" t="inlineStr">
        <is>
          <t>Nano Nuclear Energy</t>
        </is>
      </c>
      <c r="C4" s="19" t="inlineStr">
        <is>
          <t>2026-03-15</t>
        </is>
      </c>
      <c r="D4" s="19" t="inlineStr">
        <is>
          <t>Enerji Geçişi (Nükleer SMR)</t>
        </is>
      </c>
      <c r="E4" s="19" t="inlineStr">
        <is>
          <t>Agresif Moonshot</t>
        </is>
      </c>
      <c r="F4" s="19" t="inlineStr">
        <is>
          <t>$1.2B</t>
        </is>
      </c>
      <c r="G4" s="19" t="inlineStr">
        <is>
          <t>$22.82</t>
        </is>
      </c>
      <c r="H4" s="19" t="n">
        <v>80</v>
      </c>
      <c r="I4" s="19" t="n">
        <v>53</v>
      </c>
      <c r="J4" s="19" t="n">
        <v>37</v>
      </c>
      <c r="K4" s="19" t="n">
        <v>65</v>
      </c>
      <c r="L4" s="19" t="n">
        <v>50</v>
      </c>
      <c r="M4" s="19" t="n">
        <v>50</v>
      </c>
      <c r="N4" s="19" t="n">
        <v>54</v>
      </c>
      <c r="O4" s="20">
        <f>ROUND((H4*0.2)+(I4*0.2)+(J4*0.15)+(K4*0.15)+(L4*0.12)+(M4*0.08)+(N4*0.1),2)</f>
        <v/>
      </c>
      <c r="P4" s="19" t="n">
        <v>0</v>
      </c>
      <c r="Q4" s="21">
        <f>MIN(100,MAX(0,O4+P4))</f>
        <v/>
      </c>
      <c r="R4" s="22">
        <f>IF(Q4&gt;=80,"🚀 MOONSHOT BUY",IF(Q4&gt;=65,"🟢 HIGH CONVICTION",IF(Q4&gt;=50,"🟡 SPECULATIVE",IF(Q4&gt;=35,"🟠 TOO EARLY","🔴 PASS"))))</f>
        <v/>
      </c>
      <c r="S4" s="19" t="inlineStr">
        <is>
          <t>NRC ZEUS ön başvurusu</t>
        </is>
      </c>
      <c r="T4" s="19" t="inlineStr">
        <is>
          <t>Sıfır gelir, NRC onayı yıllar uzağında</t>
        </is>
      </c>
      <c r="U4" s="19" t="inlineStr">
        <is>
          <t>0.5-1%</t>
        </is>
      </c>
      <c r="V4" s="19" t="inlineStr">
        <is>
          <t>Yüksek</t>
        </is>
      </c>
      <c r="W4" s="19" t="inlineStr">
        <is>
          <t>10x+</t>
        </is>
      </c>
      <c r="X4" s="19" t="inlineStr">
        <is>
          <t>2-3x</t>
        </is>
      </c>
      <c r="Y4" s="19" t="inlineStr">
        <is>
          <t>-60%</t>
        </is>
      </c>
      <c r="Z4" t="inlineStr">
        <is>
          <t>Pre-revenue nükleer mikroreaktör, $577M nakit, HALEU dikey entegrasyon, Hunterbrook kısa raporu risk</t>
        </is>
      </c>
    </row>
    <row r="5" ht="15" customHeight="1" s="13">
      <c r="O5" s="17">
        <f>IF(H5="","",(H5*0.2)+(I5*0.2)+(J5*0.15)+(K5*0.15)+(L5*0.12)+(M5*0.08)+(N5*0.1))</f>
        <v/>
      </c>
      <c r="Q5" s="18">
        <f>IF(O5="","",MIN(100,MAX(0,O5+P5)))</f>
        <v/>
      </c>
      <c r="R5" s="16">
        <f>IF(Q5="","",IF(Q5&gt;=80,"🚀 MOONSHOT BUY",IF(Q5&gt;=65,"🟢 HIGH CONVICTION",IF(Q5&gt;=50,"🟡 SPECULATIVE WATCH",IF(Q5&gt;=35,"🟠 TOO EARLY","🔴 PASS")))))</f>
        <v/>
      </c>
    </row>
    <row r="6" ht="15" customHeight="1" s="13">
      <c r="O6" s="17">
        <f>IF(H6="","",(H6*0.2)+(I6*0.2)+(J6*0.15)+(K6*0.15)+(L6*0.12)+(M6*0.08)+(N6*0.1))</f>
        <v/>
      </c>
      <c r="Q6" s="18">
        <f>IF(O6="","",MIN(100,MAX(0,O6+P6)))</f>
        <v/>
      </c>
      <c r="R6" s="16">
        <f>IF(Q6="","",IF(Q6&gt;=80,"🚀 MOONSHOT BUY",IF(Q6&gt;=65,"🟢 HIGH CONVICTION",IF(Q6&gt;=50,"🟡 SPECULATIVE WATCH",IF(Q6&gt;=35,"🟠 TOO EARLY","🔴 PASS")))))</f>
        <v/>
      </c>
    </row>
    <row r="7" ht="15" customHeight="1" s="13">
      <c r="O7" s="17">
        <f>IF(H7="","",(H7*0.2)+(I7*0.2)+(J7*0.15)+(K7*0.15)+(L7*0.12)+(M7*0.08)+(N7*0.1))</f>
        <v/>
      </c>
      <c r="Q7" s="18">
        <f>IF(O7="","",MIN(100,MAX(0,O7+P7)))</f>
        <v/>
      </c>
      <c r="R7" s="16">
        <f>IF(Q7="","",IF(Q7&gt;=80,"🚀 MOONSHOT BUY",IF(Q7&gt;=65,"🟢 HIGH CONVICTION",IF(Q7&gt;=50,"🟡 SPECULATIVE WATCH",IF(Q7&gt;=35,"🟠 TOO EARLY","🔴 PASS")))))</f>
        <v/>
      </c>
    </row>
    <row r="8" ht="15" customHeight="1" s="13">
      <c r="O8" s="17">
        <f>IF(H8="","",(H8*0.2)+(I8*0.2)+(J8*0.15)+(K8*0.15)+(L8*0.12)+(M8*0.08)+(N8*0.1))</f>
        <v/>
      </c>
      <c r="Q8" s="18">
        <f>IF(O8="","",MIN(100,MAX(0,O8+P8)))</f>
        <v/>
      </c>
      <c r="R8" s="16">
        <f>IF(Q8="","",IF(Q8&gt;=80,"🚀 MOONSHOT BUY",IF(Q8&gt;=65,"🟢 HIGH CONVICTION",IF(Q8&gt;=50,"🟡 SPECULATIVE WATCH",IF(Q8&gt;=35,"🟠 TOO EARLY","🔴 PASS")))))</f>
        <v/>
      </c>
    </row>
    <row r="9" ht="15" customHeight="1" s="13">
      <c r="O9" s="17">
        <f>IF(H9="","",(H9*0.2)+(I9*0.2)+(J9*0.15)+(K9*0.15)+(L9*0.12)+(M9*0.08)+(N9*0.1))</f>
        <v/>
      </c>
      <c r="Q9" s="18">
        <f>IF(O9="","",MIN(100,MAX(0,O9+P9)))</f>
        <v/>
      </c>
      <c r="R9" s="16">
        <f>IF(Q9="","",IF(Q9&gt;=80,"🚀 MOONSHOT BUY",IF(Q9&gt;=65,"🟢 HIGH CONVICTION",IF(Q9&gt;=50,"🟡 SPECULATIVE WATCH",IF(Q9&gt;=35,"🟠 TOO EARLY","🔴 PASS")))))</f>
        <v/>
      </c>
    </row>
    <row r="10" ht="15" customHeight="1" s="13">
      <c r="O10" s="17">
        <f>IF(H10="","",(H10*0.2)+(I10*0.2)+(J10*0.15)+(K10*0.15)+(L10*0.12)+(M10*0.08)+(N10*0.1))</f>
        <v/>
      </c>
      <c r="Q10" s="18">
        <f>IF(O10="","",MIN(100,MAX(0,O10+P10)))</f>
        <v/>
      </c>
      <c r="R10" s="16">
        <f>IF(Q10="","",IF(Q10&gt;=80,"🚀 MOONSHOT BUY",IF(Q10&gt;=65,"🟢 HIGH CONVICTION",IF(Q10&gt;=50,"🟡 SPECULATIVE WATCH",IF(Q10&gt;=35,"🟠 TOO EARLY","🔴 PASS")))))</f>
        <v/>
      </c>
    </row>
    <row r="11" ht="15" customHeight="1" s="13">
      <c r="O11" s="17">
        <f>IF(H11="","",(H11*0.2)+(I11*0.2)+(J11*0.15)+(K11*0.15)+(L11*0.12)+(M11*0.08)+(N11*0.1))</f>
        <v/>
      </c>
      <c r="Q11" s="18">
        <f>IF(O11="","",MIN(100,MAX(0,O11+P11)))</f>
        <v/>
      </c>
      <c r="R11" s="16">
        <f>IF(Q11="","",IF(Q11&gt;=80,"🚀 MOONSHOT BUY",IF(Q11&gt;=65,"🟢 HIGH CONVICTION",IF(Q11&gt;=50,"🟡 SPECULATIVE WATCH",IF(Q11&gt;=35,"🟠 TOO EARLY","🔴 PASS")))))</f>
        <v/>
      </c>
    </row>
    <row r="12" ht="15" customHeight="1" s="13">
      <c r="O12" s="17">
        <f>IF(H12="","",(H12*0.2)+(I12*0.2)+(J12*0.15)+(K12*0.15)+(L12*0.12)+(M12*0.08)+(N12*0.1))</f>
        <v/>
      </c>
      <c r="Q12" s="18">
        <f>IF(O12="","",MIN(100,MAX(0,O12+P12)))</f>
        <v/>
      </c>
      <c r="R12" s="16">
        <f>IF(Q12="","",IF(Q12&gt;=80,"🚀 MOONSHOT BUY",IF(Q12&gt;=65,"🟢 HIGH CONVICTION",IF(Q12&gt;=50,"🟡 SPECULATIVE WATCH",IF(Q12&gt;=35,"🟠 TOO EARLY","🔴 PASS")))))</f>
        <v/>
      </c>
    </row>
    <row r="13" ht="15" customHeight="1" s="13">
      <c r="O13" s="17">
        <f>IF(H13="","",(H13*0.2)+(I13*0.2)+(J13*0.15)+(K13*0.15)+(L13*0.12)+(M13*0.08)+(N13*0.1))</f>
        <v/>
      </c>
      <c r="Q13" s="18">
        <f>IF(O13="","",MIN(100,MAX(0,O13+P13)))</f>
        <v/>
      </c>
      <c r="R13" s="16">
        <f>IF(Q13="","",IF(Q13&gt;=80,"🚀 MOONSHOT BUY",IF(Q13&gt;=65,"🟢 HIGH CONVICTION",IF(Q13&gt;=50,"🟡 SPECULATIVE WATCH",IF(Q13&gt;=35,"🟠 TOO EARLY","🔴 PASS")))))</f>
        <v/>
      </c>
    </row>
    <row r="14" ht="15" customHeight="1" s="13">
      <c r="O14" s="17">
        <f>IF(H14="","",(H14*0.2)+(I14*0.2)+(J14*0.15)+(K14*0.15)+(L14*0.12)+(M14*0.08)+(N14*0.1))</f>
        <v/>
      </c>
      <c r="Q14" s="18">
        <f>IF(O14="","",MIN(100,MAX(0,O14+P14)))</f>
        <v/>
      </c>
      <c r="R14" s="16">
        <f>IF(Q14="","",IF(Q14&gt;=80,"🚀 MOONSHOT BUY",IF(Q14&gt;=65,"🟢 HIGH CONVICTION",IF(Q14&gt;=50,"🟡 SPECULATIVE WATCH",IF(Q14&gt;=35,"🟠 TOO EARLY","🔴 PASS")))))</f>
        <v/>
      </c>
    </row>
    <row r="15" ht="15" customHeight="1" s="13">
      <c r="O15" s="17">
        <f>IF(H15="","",(H15*0.2)+(I15*0.2)+(J15*0.15)+(K15*0.15)+(L15*0.12)+(M15*0.08)+(N15*0.1))</f>
        <v/>
      </c>
      <c r="Q15" s="18">
        <f>IF(O15="","",MIN(100,MAX(0,O15+P15)))</f>
        <v/>
      </c>
      <c r="R15" s="16">
        <f>IF(Q15="","",IF(Q15&gt;=80,"🚀 MOONSHOT BUY",IF(Q15&gt;=65,"🟢 HIGH CONVICTION",IF(Q15&gt;=50,"🟡 SPECULATIVE WATCH",IF(Q15&gt;=35,"🟠 TOO EARLY","🔴 PASS")))))</f>
        <v/>
      </c>
    </row>
    <row r="16" ht="15" customHeight="1" s="13">
      <c r="O16" s="17">
        <f>IF(H16="","",(H16*0.2)+(I16*0.2)+(J16*0.15)+(K16*0.15)+(L16*0.12)+(M16*0.08)+(N16*0.1))</f>
        <v/>
      </c>
      <c r="Q16" s="18">
        <f>IF(O16="","",MIN(100,MAX(0,O16+P16)))</f>
        <v/>
      </c>
      <c r="R16" s="16">
        <f>IF(Q16="","",IF(Q16&gt;=80,"🚀 MOONSHOT BUY",IF(Q16&gt;=65,"🟢 HIGH CONVICTION",IF(Q16&gt;=50,"🟡 SPECULATIVE WATCH",IF(Q16&gt;=35,"🟠 TOO EARLY","🔴 PASS")))))</f>
        <v/>
      </c>
    </row>
    <row r="17" ht="15" customHeight="1" s="13">
      <c r="O17" s="17">
        <f>IF(H17="","",(H17*0.2)+(I17*0.2)+(J17*0.15)+(K17*0.15)+(L17*0.12)+(M17*0.08)+(N17*0.1))</f>
        <v/>
      </c>
      <c r="Q17" s="18">
        <f>IF(O17="","",MIN(100,MAX(0,O17+P17)))</f>
        <v/>
      </c>
      <c r="R17" s="16">
        <f>IF(Q17="","",IF(Q17&gt;=80,"🚀 MOONSHOT BUY",IF(Q17&gt;=65,"🟢 HIGH CONVICTION",IF(Q17&gt;=50,"🟡 SPECULATIVE WATCH",IF(Q17&gt;=35,"🟠 TOO EARLY","🔴 PASS")))))</f>
        <v/>
      </c>
    </row>
    <row r="18" ht="15" customHeight="1" s="13">
      <c r="O18" s="17">
        <f>IF(H18="","",(H18*0.2)+(I18*0.2)+(J18*0.15)+(K18*0.15)+(L18*0.12)+(M18*0.08)+(N18*0.1))</f>
        <v/>
      </c>
      <c r="Q18" s="18">
        <f>IF(O18="","",MIN(100,MAX(0,O18+P18)))</f>
        <v/>
      </c>
      <c r="R18" s="16">
        <f>IF(Q18="","",IF(Q18&gt;=80,"🚀 MOONSHOT BUY",IF(Q18&gt;=65,"🟢 HIGH CONVICTION",IF(Q18&gt;=50,"🟡 SPECULATIVE WATCH",IF(Q18&gt;=35,"🟠 TOO EARLY","🔴 PASS")))))</f>
        <v/>
      </c>
    </row>
    <row r="19" ht="15" customHeight="1" s="13">
      <c r="O19" s="17">
        <f>IF(H19="","",(H19*0.2)+(I19*0.2)+(J19*0.15)+(K19*0.15)+(L19*0.12)+(M19*0.08)+(N19*0.1))</f>
        <v/>
      </c>
      <c r="Q19" s="18">
        <f>IF(O19="","",MIN(100,MAX(0,O19+P19)))</f>
        <v/>
      </c>
      <c r="R19" s="16">
        <f>IF(Q19="","",IF(Q19&gt;=80,"🚀 MOONSHOT BUY",IF(Q19&gt;=65,"🟢 HIGH CONVICTION",IF(Q19&gt;=50,"🟡 SPECULATIVE WATCH",IF(Q19&gt;=35,"🟠 TOO EARLY","🔴 PASS")))))</f>
        <v/>
      </c>
    </row>
    <row r="20" ht="15" customHeight="1" s="13">
      <c r="O20" s="17">
        <f>IF(H20="","",(H20*0.2)+(I20*0.2)+(J20*0.15)+(K20*0.15)+(L20*0.12)+(M20*0.08)+(N20*0.1))</f>
        <v/>
      </c>
      <c r="Q20" s="18">
        <f>IF(O20="","",MIN(100,MAX(0,O20+P20)))</f>
        <v/>
      </c>
      <c r="R20" s="16">
        <f>IF(Q20="","",IF(Q20&gt;=80,"🚀 MOONSHOT BUY",IF(Q20&gt;=65,"🟢 HIGH CONVICTION",IF(Q20&gt;=50,"🟡 SPECULATIVE WATCH",IF(Q20&gt;=35,"🟠 TOO EARLY","🔴 PASS")))))</f>
        <v/>
      </c>
    </row>
    <row r="21" ht="15" customHeight="1" s="13">
      <c r="O21" s="17">
        <f>IF(H21="","",(H21*0.2)+(I21*0.2)+(J21*0.15)+(K21*0.15)+(L21*0.12)+(M21*0.08)+(N21*0.1))</f>
        <v/>
      </c>
      <c r="Q21" s="18">
        <f>IF(O21="","",MIN(100,MAX(0,O21+P21)))</f>
        <v/>
      </c>
      <c r="R21" s="16">
        <f>IF(Q21="","",IF(Q21&gt;=80,"🚀 MOONSHOT BUY",IF(Q21&gt;=65,"🟢 HIGH CONVICTION",IF(Q21&gt;=50,"🟡 SPECULATIVE WATCH",IF(Q21&gt;=35,"🟠 TOO EARLY","🔴 PASS")))))</f>
        <v/>
      </c>
    </row>
    <row r="22" ht="15" customHeight="1" s="13">
      <c r="O22" s="17">
        <f>IF(H22="","",(H22*0.2)+(I22*0.2)+(J22*0.15)+(K22*0.15)+(L22*0.12)+(M22*0.08)+(N22*0.1))</f>
        <v/>
      </c>
      <c r="Q22" s="18">
        <f>IF(O22="","",MIN(100,MAX(0,O22+P22)))</f>
        <v/>
      </c>
      <c r="R22" s="16">
        <f>IF(Q22="","",IF(Q22&gt;=80,"🚀 MOONSHOT BUY",IF(Q22&gt;=65,"🟢 HIGH CONVICTION",IF(Q22&gt;=50,"🟡 SPECULATIVE WATCH",IF(Q22&gt;=35,"🟠 TOO EARLY","🔴 PASS")))))</f>
        <v/>
      </c>
    </row>
    <row r="23" ht="15" customHeight="1" s="13">
      <c r="O23" s="17">
        <f>IF(H23="","",(H23*0.2)+(I23*0.2)+(J23*0.15)+(K23*0.15)+(L23*0.12)+(M23*0.08)+(N23*0.1))</f>
        <v/>
      </c>
      <c r="Q23" s="18">
        <f>IF(O23="","",MIN(100,MAX(0,O23+P23)))</f>
        <v/>
      </c>
      <c r="R23" s="16">
        <f>IF(Q23="","",IF(Q23&gt;=80,"🚀 MOONSHOT BUY",IF(Q23&gt;=65,"🟢 HIGH CONVICTION",IF(Q23&gt;=50,"🟡 SPECULATIVE WATCH",IF(Q23&gt;=35,"🟠 TOO EARLY","🔴 PASS")))))</f>
        <v/>
      </c>
    </row>
    <row r="24" ht="15" customHeight="1" s="13">
      <c r="O24" s="17">
        <f>IF(H24="","",(H24*0.2)+(I24*0.2)+(J24*0.15)+(K24*0.15)+(L24*0.12)+(M24*0.08)+(N24*0.1))</f>
        <v/>
      </c>
      <c r="Q24" s="18">
        <f>IF(O24="","",MIN(100,MAX(0,O24+P24)))</f>
        <v/>
      </c>
      <c r="R24" s="16">
        <f>IF(Q24="","",IF(Q24&gt;=80,"🚀 MOONSHOT BUY",IF(Q24&gt;=65,"🟢 HIGH CONVICTION",IF(Q24&gt;=50,"🟡 SPECULATIVE WATCH",IF(Q24&gt;=35,"🟠 TOO EARLY","🔴 PASS")))))</f>
        <v/>
      </c>
    </row>
    <row r="25" ht="15" customHeight="1" s="13">
      <c r="O25" s="17">
        <f>IF(H25="","",(H25*0.2)+(I25*0.2)+(J25*0.15)+(K25*0.15)+(L25*0.12)+(M25*0.08)+(N25*0.1))</f>
        <v/>
      </c>
      <c r="Q25" s="18">
        <f>IF(O25="","",MIN(100,MAX(0,O25+P25)))</f>
        <v/>
      </c>
      <c r="R25" s="16">
        <f>IF(Q25="","",IF(Q25&gt;=80,"🚀 MOONSHOT BUY",IF(Q25&gt;=65,"🟢 HIGH CONVICTION",IF(Q25&gt;=50,"🟡 SPECULATIVE WATCH",IF(Q25&gt;=35,"🟠 TOO EARLY","🔴 PASS")))))</f>
        <v/>
      </c>
    </row>
    <row r="26" ht="15" customHeight="1" s="13">
      <c r="O26" s="17">
        <f>IF(H26="","",(H26*0.2)+(I26*0.2)+(J26*0.15)+(K26*0.15)+(L26*0.12)+(M26*0.08)+(N26*0.1))</f>
        <v/>
      </c>
      <c r="Q26" s="18">
        <f>IF(O26="","",MIN(100,MAX(0,O26+P26)))</f>
        <v/>
      </c>
      <c r="R26" s="16">
        <f>IF(Q26="","",IF(Q26&gt;=80,"🚀 MOONSHOT BUY",IF(Q26&gt;=65,"🟢 HIGH CONVICTION",IF(Q26&gt;=50,"🟡 SPECULATIVE WATCH",IF(Q26&gt;=35,"🟠 TOO EARLY","🔴 PASS")))))</f>
        <v/>
      </c>
    </row>
    <row r="27" ht="15" customHeight="1" s="13">
      <c r="O27" s="17">
        <f>IF(H27="","",(H27*0.2)+(I27*0.2)+(J27*0.15)+(K27*0.15)+(L27*0.12)+(M27*0.08)+(N27*0.1))</f>
        <v/>
      </c>
      <c r="Q27" s="18">
        <f>IF(O27="","",MIN(100,MAX(0,O27+P27)))</f>
        <v/>
      </c>
      <c r="R27" s="16">
        <f>IF(Q27="","",IF(Q27&gt;=80,"🚀 MOONSHOT BUY",IF(Q27&gt;=65,"🟢 HIGH CONVICTION",IF(Q27&gt;=50,"🟡 SPECULATIVE WATCH",IF(Q27&gt;=35,"🟠 TOO EARLY","🔴 PASS")))))</f>
        <v/>
      </c>
    </row>
    <row r="28" ht="15" customHeight="1" s="13">
      <c r="O28" s="17">
        <f>IF(H28="","",(H28*0.2)+(I28*0.2)+(J28*0.15)+(K28*0.15)+(L28*0.12)+(M28*0.08)+(N28*0.1))</f>
        <v/>
      </c>
      <c r="Q28" s="18">
        <f>IF(O28="","",MIN(100,MAX(0,O28+P28)))</f>
        <v/>
      </c>
      <c r="R28" s="16">
        <f>IF(Q28="","",IF(Q28&gt;=80,"🚀 MOONSHOT BUY",IF(Q28&gt;=65,"🟢 HIGH CONVICTION",IF(Q28&gt;=50,"🟡 SPECULATIVE WATCH",IF(Q28&gt;=35,"🟠 TOO EARLY","🔴 PASS")))))</f>
        <v/>
      </c>
    </row>
    <row r="29" ht="15" customHeight="1" s="13">
      <c r="O29" s="17">
        <f>IF(H29="","",(H29*0.2)+(I29*0.2)+(J29*0.15)+(K29*0.15)+(L29*0.12)+(M29*0.08)+(N29*0.1))</f>
        <v/>
      </c>
      <c r="Q29" s="18">
        <f>IF(O29="","",MIN(100,MAX(0,O29+P29)))</f>
        <v/>
      </c>
      <c r="R29" s="16">
        <f>IF(Q29="","",IF(Q29&gt;=80,"🚀 MOONSHOT BUY",IF(Q29&gt;=65,"🟢 HIGH CONVICTION",IF(Q29&gt;=50,"🟡 SPECULATIVE WATCH",IF(Q29&gt;=35,"🟠 TOO EARLY","🔴 PASS")))))</f>
        <v/>
      </c>
    </row>
    <row r="30" ht="15" customHeight="1" s="13">
      <c r="O30" s="17">
        <f>IF(H30="","",(H30*0.2)+(I30*0.2)+(J30*0.15)+(K30*0.15)+(L30*0.12)+(M30*0.08)+(N30*0.1))</f>
        <v/>
      </c>
      <c r="Q30" s="18">
        <f>IF(O30="","",MIN(100,MAX(0,O30+P30)))</f>
        <v/>
      </c>
      <c r="R30" s="16">
        <f>IF(Q30="","",IF(Q30&gt;=80,"🚀 MOONSHOT BUY",IF(Q30&gt;=65,"🟢 HIGH CONVICTION",IF(Q30&gt;=50,"🟡 SPECULATIVE WATCH",IF(Q30&gt;=35,"🟠 TOO EARLY","🔴 PASS")))))</f>
        <v/>
      </c>
    </row>
    <row r="31" ht="15" customHeight="1" s="13">
      <c r="O31" s="17">
        <f>IF(H31="","",(H31*0.2)+(I31*0.2)+(J31*0.15)+(K31*0.15)+(L31*0.12)+(M31*0.08)+(N31*0.1))</f>
        <v/>
      </c>
      <c r="Q31" s="18">
        <f>IF(O31="","",MIN(100,MAX(0,O31+P31)))</f>
        <v/>
      </c>
      <c r="R31" s="16">
        <f>IF(Q31="","",IF(Q31&gt;=80,"🚀 MOONSHOT BUY",IF(Q31&gt;=65,"🟢 HIGH CONVICTION",IF(Q31&gt;=50,"🟡 SPECULATIVE WATCH",IF(Q31&gt;=35,"🟠 TOO EARLY","🔴 PASS")))))</f>
        <v/>
      </c>
    </row>
    <row r="32" ht="15" customHeight="1" s="13">
      <c r="O32" s="17">
        <f>IF(H32="","",(H32*0.2)+(I32*0.2)+(J32*0.15)+(K32*0.15)+(L32*0.12)+(M32*0.08)+(N32*0.1))</f>
        <v/>
      </c>
      <c r="Q32" s="18">
        <f>IF(O32="","",MIN(100,MAX(0,O32+P32)))</f>
        <v/>
      </c>
      <c r="R32" s="16">
        <f>IF(Q32="","",IF(Q32&gt;=80,"🚀 MOONSHOT BUY",IF(Q32&gt;=65,"🟢 HIGH CONVICTION",IF(Q32&gt;=50,"🟡 SPECULATIVE WATCH",IF(Q32&gt;=35,"🟠 TOO EARLY","🔴 PASS")))))</f>
        <v/>
      </c>
    </row>
    <row r="33" ht="15" customHeight="1" s="13">
      <c r="O33" s="17">
        <f>IF(H33="","",(H33*0.2)+(I33*0.2)+(J33*0.15)+(K33*0.15)+(L33*0.12)+(M33*0.08)+(N33*0.1))</f>
        <v/>
      </c>
      <c r="Q33" s="18">
        <f>IF(O33="","",MIN(100,MAX(0,O33+P33)))</f>
        <v/>
      </c>
      <c r="R33" s="16">
        <f>IF(Q33="","",IF(Q33&gt;=80,"🚀 MOONSHOT BUY",IF(Q33&gt;=65,"🟢 HIGH CONVICTION",IF(Q33&gt;=50,"🟡 SPECULATIVE WATCH",IF(Q33&gt;=35,"🟠 TOO EARLY","🔴 PASS")))))</f>
        <v/>
      </c>
    </row>
    <row r="34" ht="15" customHeight="1" s="13">
      <c r="O34" s="17">
        <f>IF(H34="","",(H34*0.2)+(I34*0.2)+(J34*0.15)+(K34*0.15)+(L34*0.12)+(M34*0.08)+(N34*0.1))</f>
        <v/>
      </c>
      <c r="Q34" s="18">
        <f>IF(O34="","",MIN(100,MAX(0,O34+P34)))</f>
        <v/>
      </c>
      <c r="R34" s="16">
        <f>IF(Q34="","",IF(Q34&gt;=80,"🚀 MOONSHOT BUY",IF(Q34&gt;=65,"🟢 HIGH CONVICTION",IF(Q34&gt;=50,"🟡 SPECULATIVE WATCH",IF(Q34&gt;=35,"🟠 TOO EARLY","🔴 PASS")))))</f>
        <v/>
      </c>
    </row>
    <row r="35" ht="15" customHeight="1" s="13">
      <c r="O35" s="17">
        <f>IF(H35="","",(H35*0.2)+(I35*0.2)+(J35*0.15)+(K35*0.15)+(L35*0.12)+(M35*0.08)+(N35*0.1))</f>
        <v/>
      </c>
      <c r="Q35" s="18">
        <f>IF(O35="","",MIN(100,MAX(0,O35+P35)))</f>
        <v/>
      </c>
      <c r="R35" s="16">
        <f>IF(Q35="","",IF(Q35&gt;=80,"🚀 MOONSHOT BUY",IF(Q35&gt;=65,"🟢 HIGH CONVICTION",IF(Q35&gt;=50,"🟡 SPECULATIVE WATCH",IF(Q35&gt;=35,"🟠 TOO EARLY","🔴 PASS")))))</f>
        <v/>
      </c>
    </row>
    <row r="36" ht="15" customHeight="1" s="13">
      <c r="O36" s="17">
        <f>IF(H36="","",(H36*0.2)+(I36*0.2)+(J36*0.15)+(K36*0.15)+(L36*0.12)+(M36*0.08)+(N36*0.1))</f>
        <v/>
      </c>
      <c r="Q36" s="18">
        <f>IF(O36="","",MIN(100,MAX(0,O36+P36)))</f>
        <v/>
      </c>
      <c r="R36" s="16">
        <f>IF(Q36="","",IF(Q36&gt;=80,"🚀 MOONSHOT BUY",IF(Q36&gt;=65,"🟢 HIGH CONVICTION",IF(Q36&gt;=50,"🟡 SPECULATIVE WATCH",IF(Q36&gt;=35,"🟠 TOO EARLY","🔴 PASS")))))</f>
        <v/>
      </c>
    </row>
    <row r="37" ht="15" customHeight="1" s="13">
      <c r="O37" s="17">
        <f>IF(H37="","",(H37*0.2)+(I37*0.2)+(J37*0.15)+(K37*0.15)+(L37*0.12)+(M37*0.08)+(N37*0.1))</f>
        <v/>
      </c>
      <c r="Q37" s="18">
        <f>IF(O37="","",MIN(100,MAX(0,O37+P37)))</f>
        <v/>
      </c>
      <c r="R37" s="16">
        <f>IF(Q37="","",IF(Q37&gt;=80,"🚀 MOONSHOT BUY",IF(Q37&gt;=65,"🟢 HIGH CONVICTION",IF(Q37&gt;=50,"🟡 SPECULATIVE WATCH",IF(Q37&gt;=35,"🟠 TOO EARLY","🔴 PASS")))))</f>
        <v/>
      </c>
    </row>
    <row r="38" ht="15" customHeight="1" s="13">
      <c r="O38" s="17">
        <f>IF(H38="","",(H38*0.2)+(I38*0.2)+(J38*0.15)+(K38*0.15)+(L38*0.12)+(M38*0.08)+(N38*0.1))</f>
        <v/>
      </c>
      <c r="Q38" s="18">
        <f>IF(O38="","",MIN(100,MAX(0,O38+P38)))</f>
        <v/>
      </c>
      <c r="R38" s="16">
        <f>IF(Q38="","",IF(Q38&gt;=80,"🚀 MOONSHOT BUY",IF(Q38&gt;=65,"🟢 HIGH CONVICTION",IF(Q38&gt;=50,"🟡 SPECULATIVE WATCH",IF(Q38&gt;=35,"🟠 TOO EARLY","🔴 PASS")))))</f>
        <v/>
      </c>
    </row>
    <row r="39" ht="15" customHeight="1" s="13">
      <c r="O39" s="17">
        <f>IF(H39="","",(H39*0.2)+(I39*0.2)+(J39*0.15)+(K39*0.15)+(L39*0.12)+(M39*0.08)+(N39*0.1))</f>
        <v/>
      </c>
      <c r="Q39" s="18">
        <f>IF(O39="","",MIN(100,MAX(0,O39+P39)))</f>
        <v/>
      </c>
      <c r="R39" s="16">
        <f>IF(Q39="","",IF(Q39&gt;=80,"🚀 MOONSHOT BUY",IF(Q39&gt;=65,"🟢 HIGH CONVICTION",IF(Q39&gt;=50,"🟡 SPECULATIVE WATCH",IF(Q39&gt;=35,"🟠 TOO EARLY","🔴 PASS")))))</f>
        <v/>
      </c>
    </row>
    <row r="40" ht="15" customHeight="1" s="13">
      <c r="O40" s="17">
        <f>IF(H40="","",(H40*0.2)+(I40*0.2)+(J40*0.15)+(K40*0.15)+(L40*0.12)+(M40*0.08)+(N40*0.1))</f>
        <v/>
      </c>
      <c r="Q40" s="18">
        <f>IF(O40="","",MIN(100,MAX(0,O40+P40)))</f>
        <v/>
      </c>
      <c r="R40" s="16">
        <f>IF(Q40="","",IF(Q40&gt;=80,"🚀 MOONSHOT BUY",IF(Q40&gt;=65,"🟢 HIGH CONVICTION",IF(Q40&gt;=50,"🟡 SPECULATIVE WATCH",IF(Q40&gt;=35,"🟠 TOO EARLY","🔴 PASS")))))</f>
        <v/>
      </c>
    </row>
    <row r="41" ht="15" customHeight="1" s="13">
      <c r="O41" s="17">
        <f>IF(H41="","",(H41*0.2)+(I41*0.2)+(J41*0.15)+(K41*0.15)+(L41*0.12)+(M41*0.08)+(N41*0.1))</f>
        <v/>
      </c>
      <c r="Q41" s="18">
        <f>IF(O41="","",MIN(100,MAX(0,O41+P41)))</f>
        <v/>
      </c>
      <c r="R41" s="16">
        <f>IF(Q41="","",IF(Q41&gt;=80,"🚀 MOONSHOT BUY",IF(Q41&gt;=65,"🟢 HIGH CONVICTION",IF(Q41&gt;=50,"🟡 SPECULATIVE WATCH",IF(Q41&gt;=35,"🟠 TOO EARLY","🔴 PASS")))))</f>
        <v/>
      </c>
    </row>
    <row r="42" ht="15" customHeight="1" s="13">
      <c r="O42" s="17">
        <f>IF(H42="","",(H42*0.2)+(I42*0.2)+(J42*0.15)+(K42*0.15)+(L42*0.12)+(M42*0.08)+(N42*0.1))</f>
        <v/>
      </c>
      <c r="Q42" s="18">
        <f>IF(O42="","",MIN(100,MAX(0,O42+P42)))</f>
        <v/>
      </c>
      <c r="R42" s="16">
        <f>IF(Q42="","",IF(Q42&gt;=80,"🚀 MOONSHOT BUY",IF(Q42&gt;=65,"🟢 HIGH CONVICTION",IF(Q42&gt;=50,"🟡 SPECULATIVE WATCH",IF(Q42&gt;=35,"🟠 TOO EARLY","🔴 PASS")))))</f>
        <v/>
      </c>
    </row>
    <row r="43" ht="15" customHeight="1" s="13">
      <c r="O43" s="17">
        <f>IF(H43="","",(H43*0.2)+(I43*0.2)+(J43*0.15)+(K43*0.15)+(L43*0.12)+(M43*0.08)+(N43*0.1))</f>
        <v/>
      </c>
      <c r="Q43" s="18">
        <f>IF(O43="","",MIN(100,MAX(0,O43+P43)))</f>
        <v/>
      </c>
      <c r="R43" s="16">
        <f>IF(Q43="","",IF(Q43&gt;=80,"🚀 MOONSHOT BUY",IF(Q43&gt;=65,"🟢 HIGH CONVICTION",IF(Q43&gt;=50,"🟡 SPECULATIVE WATCH",IF(Q43&gt;=35,"🟠 TOO EARLY","🔴 PASS")))))</f>
        <v/>
      </c>
    </row>
    <row r="44" ht="15" customHeight="1" s="13">
      <c r="O44" s="17">
        <f>IF(H44="","",(H44*0.2)+(I44*0.2)+(J44*0.15)+(K44*0.15)+(L44*0.12)+(M44*0.08)+(N44*0.1))</f>
        <v/>
      </c>
      <c r="Q44" s="18">
        <f>IF(O44="","",MIN(100,MAX(0,O44+P44)))</f>
        <v/>
      </c>
      <c r="R44" s="16">
        <f>IF(Q44="","",IF(Q44&gt;=80,"🚀 MOONSHOT BUY",IF(Q44&gt;=65,"🟢 HIGH CONVICTION",IF(Q44&gt;=50,"🟡 SPECULATIVE WATCH",IF(Q44&gt;=35,"🟠 TOO EARLY","🔴 PASS")))))</f>
        <v/>
      </c>
    </row>
    <row r="45" ht="15" customHeight="1" s="13">
      <c r="O45" s="17">
        <f>IF(H45="","",(H45*0.2)+(I45*0.2)+(J45*0.15)+(K45*0.15)+(L45*0.12)+(M45*0.08)+(N45*0.1))</f>
        <v/>
      </c>
      <c r="Q45" s="18">
        <f>IF(O45="","",MIN(100,MAX(0,O45+P45)))</f>
        <v/>
      </c>
      <c r="R45" s="16">
        <f>IF(Q45="","",IF(Q45&gt;=80,"🚀 MOONSHOT BUY",IF(Q45&gt;=65,"🟢 HIGH CONVICTION",IF(Q45&gt;=50,"🟡 SPECULATIVE WATCH",IF(Q45&gt;=35,"🟠 TOO EARLY","🔴 PASS")))))</f>
        <v/>
      </c>
    </row>
    <row r="46" ht="15" customHeight="1" s="13">
      <c r="O46" s="17">
        <f>IF(H46="","",(H46*0.2)+(I46*0.2)+(J46*0.15)+(K46*0.15)+(L46*0.12)+(M46*0.08)+(N46*0.1))</f>
        <v/>
      </c>
      <c r="Q46" s="18">
        <f>IF(O46="","",MIN(100,MAX(0,O46+P46)))</f>
        <v/>
      </c>
      <c r="R46" s="16">
        <f>IF(Q46="","",IF(Q46&gt;=80,"🚀 MOONSHOT BUY",IF(Q46&gt;=65,"🟢 HIGH CONVICTION",IF(Q46&gt;=50,"🟡 SPECULATIVE WATCH",IF(Q46&gt;=35,"🟠 TOO EARLY","🔴 PASS")))))</f>
        <v/>
      </c>
    </row>
    <row r="47" ht="15" customHeight="1" s="13">
      <c r="O47" s="17">
        <f>IF(H47="","",(H47*0.2)+(I47*0.2)+(J47*0.15)+(K47*0.15)+(L47*0.12)+(M47*0.08)+(N47*0.1))</f>
        <v/>
      </c>
      <c r="Q47" s="18">
        <f>IF(O47="","",MIN(100,MAX(0,O47+P47)))</f>
        <v/>
      </c>
      <c r="R47" s="16">
        <f>IF(Q47="","",IF(Q47&gt;=80,"🚀 MOONSHOT BUY",IF(Q47&gt;=65,"🟢 HIGH CONVICTION",IF(Q47&gt;=50,"🟡 SPECULATIVE WATCH",IF(Q47&gt;=35,"🟠 TOO EARLY","🔴 PASS")))))</f>
        <v/>
      </c>
    </row>
    <row r="48" ht="15" customHeight="1" s="13">
      <c r="O48" s="17">
        <f>IF(H48="","",(H48*0.2)+(I48*0.2)+(J48*0.15)+(K48*0.15)+(L48*0.12)+(M48*0.08)+(N48*0.1))</f>
        <v/>
      </c>
      <c r="Q48" s="18">
        <f>IF(O48="","",MIN(100,MAX(0,O48+P48)))</f>
        <v/>
      </c>
      <c r="R48" s="16">
        <f>IF(Q48="","",IF(Q48&gt;=80,"🚀 MOONSHOT BUY",IF(Q48&gt;=65,"🟢 HIGH CONVICTION",IF(Q48&gt;=50,"🟡 SPECULATIVE WATCH",IF(Q48&gt;=35,"🟠 TOO EARLY","🔴 PASS")))))</f>
        <v/>
      </c>
    </row>
    <row r="49" ht="15" customHeight="1" s="13">
      <c r="O49" s="17">
        <f>IF(H49="","",(H49*0.2)+(I49*0.2)+(J49*0.15)+(K49*0.15)+(L49*0.12)+(M49*0.08)+(N49*0.1))</f>
        <v/>
      </c>
      <c r="Q49" s="18">
        <f>IF(O49="","",MIN(100,MAX(0,O49+P49)))</f>
        <v/>
      </c>
      <c r="R49" s="16">
        <f>IF(Q49="","",IF(Q49&gt;=80,"🚀 MOONSHOT BUY",IF(Q49&gt;=65,"🟢 HIGH CONVICTION",IF(Q49&gt;=50,"🟡 SPECULATIVE WATCH",IF(Q49&gt;=35,"🟠 TOO EARLY","🔴 PASS")))))</f>
        <v/>
      </c>
    </row>
    <row r="50" ht="15" customHeight="1" s="13">
      <c r="O50" s="17">
        <f>IF(H50="","",(H50*0.2)+(I50*0.2)+(J50*0.15)+(K50*0.15)+(L50*0.12)+(M50*0.08)+(N50*0.1))</f>
        <v/>
      </c>
      <c r="Q50" s="18">
        <f>IF(O50="","",MIN(100,MAX(0,O50+P50)))</f>
        <v/>
      </c>
      <c r="R50" s="16">
        <f>IF(Q50="","",IF(Q50&gt;=80,"🚀 MOONSHOT BUY",IF(Q50&gt;=65,"🟢 HIGH CONVICTION",IF(Q50&gt;=50,"🟡 SPECULATIVE WATCH",IF(Q50&gt;=35,"🟠 TOO EARLY","🔴 PASS")))))</f>
        <v/>
      </c>
    </row>
  </sheetData>
  <autoFilter ref="A1:Z1"/>
  <conditionalFormatting sqref="Q2:Q50">
    <cfRule type="cellIs" rank="0" priority="2" equalAverage="0" operator="greaterThanOrEqual" aboveAverage="0" dxfId="5" text="" percent="0" bottom="0">
      <formula>80</formula>
    </cfRule>
    <cfRule type="cellIs" rank="0" priority="3" equalAverage="0" operator="between" aboveAverage="0" dxfId="2" text="" percent="0" bottom="0">
      <formula>65</formula>
      <formula>79.9</formula>
    </cfRule>
    <cfRule type="cellIs" rank="0" priority="4" equalAverage="0" operator="between" aboveAverage="0" dxfId="3" text="" percent="0" bottom="0">
      <formula>50</formula>
      <formula>64.9</formula>
    </cfRule>
    <cfRule type="cellIs" rank="0" priority="5" equalAverage="0" operator="between" aboveAverage="0" dxfId="6" text="" percent="0" bottom="0">
      <formula>35</formula>
      <formula>49.9</formula>
    </cfRule>
    <cfRule type="cellIs" rank="0" priority="6" equalAverage="0" operator="lessThan" aboveAverage="0" dxfId="4" text="" percent="0" bottom="0">
      <formula>35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12" min="1" max="1"/>
    <col width="12" customWidth="1" style="12" min="2" max="2"/>
    <col width="18" customWidth="1" style="12" min="3" max="3"/>
    <col width="35" customWidth="1" style="12" min="4" max="4"/>
    <col width="12" customWidth="1" style="12" min="5" max="7"/>
    <col width="20" customWidth="1" style="12" min="8" max="8"/>
    <col width="30" customWidth="1" style="12" min="9" max="9"/>
  </cols>
  <sheetData>
    <row r="1" ht="26.25" customHeight="1" s="13">
      <c r="A1" s="14" t="inlineStr">
        <is>
          <t>Ticker</t>
        </is>
      </c>
      <c r="B1" s="14" t="inlineStr">
        <is>
          <t>Tarih</t>
        </is>
      </c>
      <c r="C1" s="14" t="inlineStr">
        <is>
          <t>Değişen Boyut</t>
        </is>
      </c>
      <c r="D1" s="14" t="inlineStr">
        <is>
          <t>Değişiklik Açıklaması</t>
        </is>
      </c>
      <c r="E1" s="14" t="inlineStr">
        <is>
          <t>Etki</t>
        </is>
      </c>
      <c r="F1" s="14" t="inlineStr">
        <is>
          <t>Önceki Score</t>
        </is>
      </c>
      <c r="G1" s="14" t="inlineStr">
        <is>
          <t>Güncel Score</t>
        </is>
      </c>
      <c r="H1" s="14" t="inlineStr">
        <is>
          <t>Aksiyon</t>
        </is>
      </c>
      <c r="I1" s="14" t="inlineStr">
        <is>
          <t>Notlar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12" min="1" max="1"/>
    <col width="15" customWidth="1" style="12" min="2" max="2"/>
  </cols>
  <sheetData>
    <row r="1" ht="17.25" customHeight="1" s="13">
      <c r="A1" s="23" t="inlineStr">
        <is>
          <t>🔭 MOONSHOT DASHBOARD</t>
        </is>
      </c>
    </row>
    <row r="2" ht="15" customHeight="1" s="13">
      <c r="A2" s="24" t="inlineStr">
        <is>
          <t>Son Güncelleme:</t>
        </is>
      </c>
      <c r="B2" s="12" t="inlineStr">
        <is>
          <t>14 Mart 2026</t>
        </is>
      </c>
    </row>
    <row r="4" ht="15" customHeight="1" s="13">
      <c r="A4" s="25" t="inlineStr">
        <is>
          <t>📊 Özet Metrikler</t>
        </is>
      </c>
    </row>
    <row r="5" ht="15" customHeight="1" s="13">
      <c r="A5" s="26" t="inlineStr">
        <is>
          <t>Toplam Taranan Şirket</t>
        </is>
      </c>
      <c r="B5" s="27">
        <f>COUNTA('Discovery Scan'!A2:A100)</f>
        <v/>
      </c>
    </row>
    <row r="6" ht="15" customHeight="1" s="13">
      <c r="A6" s="26" t="inlineStr">
        <is>
          <t>Deep Dive Listesi</t>
        </is>
      </c>
      <c r="B6" s="27">
        <f>COUNTIF('Discovery Scan'!P2:P100,"🚀 DEEP DIVE")</f>
        <v/>
      </c>
    </row>
    <row r="7" ht="15" customHeight="1" s="13">
      <c r="A7" s="26" t="inlineStr">
        <is>
          <t>Aktif Watchlist</t>
        </is>
      </c>
      <c r="B7" s="27">
        <f>COUNTIF('Discovery Scan'!P2:P100,"🟡 WATCHLIST")</f>
        <v/>
      </c>
    </row>
    <row r="8" ht="15" customHeight="1" s="13">
      <c r="A8" s="26" t="inlineStr">
        <is>
          <t>Market Cap &lt;$2B Adaylar</t>
        </is>
      </c>
      <c r="B8" s="27">
        <f>COUNTIFS('Discovery Scan'!F2:F100,"&lt;2",'Discovery Scan'!F2:F100,"&gt;0")</f>
        <v/>
      </c>
    </row>
    <row r="9" ht="15" customHeight="1" s="13">
      <c r="A9" s="26" t="inlineStr">
        <is>
          <t>Moonshot Buy Verdicts</t>
        </is>
      </c>
      <c r="B9" s="27">
        <f>COUNTIF('Deep Dive Scorecards'!R2:R50,"🚀 MOONSHOT BUY")</f>
        <v/>
      </c>
    </row>
    <row r="10" ht="15" customHeight="1" s="13">
      <c r="A10" s="26" t="inlineStr">
        <is>
          <t>High Conviction Verdicts</t>
        </is>
      </c>
      <c r="B10" s="27">
        <f>COUNTIF('Deep Dive Scorecards'!R2:R50,"🟢 HIGH CONVICTION")</f>
        <v/>
      </c>
    </row>
    <row r="11" ht="15" customHeight="1" s="13">
      <c r="A11" s="26" t="inlineStr">
        <is>
          <t>Ort. Final Score</t>
        </is>
      </c>
      <c r="B11" s="27">
        <f>IFERROR(AVERAGE('Deep Dive Scorecards'!Q2:Q50),0)</f>
        <v/>
      </c>
    </row>
    <row r="14" ht="15" customHeight="1" s="13">
      <c r="A14" s="25" t="inlineStr">
        <is>
          <t>📈 Tedarik Zinciri Dağılımı</t>
        </is>
      </c>
    </row>
    <row r="15" ht="15" customHeight="1" s="13">
      <c r="A15" s="26" t="inlineStr">
        <is>
          <t>Katman 1: Son Ürün/Sistem</t>
        </is>
      </c>
      <c r="B15" s="16">
        <f>COUNTIF('Discovery Scan'!E2:E100,"*Katman 1*")</f>
        <v/>
      </c>
    </row>
    <row r="16" ht="15" customHeight="1" s="13">
      <c r="A16" s="26" t="inlineStr">
        <is>
          <t>Katman 2: Bileşen/Alt Sistem</t>
        </is>
      </c>
      <c r="B16" s="16">
        <f>COUNTIF('Discovery Scan'!E2:E100,"*Katman 2*")</f>
        <v/>
      </c>
    </row>
    <row r="17" ht="15" customHeight="1" s="13">
      <c r="A17" s="26" t="inlineStr">
        <is>
          <t>Katman 3: Malzeme/Ekipman</t>
        </is>
      </c>
      <c r="B17" s="16">
        <f>COUNTIF('Discovery Scan'!E2:E100,"*Katman 3*")</f>
        <v/>
      </c>
    </row>
    <row r="19" ht="15" customHeight="1" s="13">
      <c r="A19" s="25" t="inlineStr">
        <is>
          <t>🌐 Megatrend Dağılımı</t>
        </is>
      </c>
    </row>
    <row r="20" ht="15" customHeight="1" s="13">
      <c r="A20" s="26" t="inlineStr">
        <is>
          <t>AI &amp; Otomasyon</t>
        </is>
      </c>
      <c r="B20" s="16">
        <f>COUNTIF('Discovery Scan'!D2:D100,"*AI &amp; Otomasyon*")</f>
        <v/>
      </c>
    </row>
    <row r="21" ht="15" customHeight="1" s="13">
      <c r="A21" s="26" t="inlineStr">
        <is>
          <t>Enerji</t>
        </is>
      </c>
      <c r="B21" s="16">
        <f>COUNTIF('Discovery Scan'!D2:D100,"*Enerji*")</f>
        <v/>
      </c>
    </row>
    <row r="22" ht="15" customHeight="1" s="13">
      <c r="A22" s="26" t="inlineStr">
        <is>
          <t>Uzay</t>
        </is>
      </c>
      <c r="B22" s="16">
        <f>COUNTIF('Discovery Scan'!D2:D100,"*Uzay*")</f>
        <v/>
      </c>
    </row>
    <row r="23" ht="15" customHeight="1" s="13">
      <c r="A23" s="26" t="inlineStr">
        <is>
          <t>BioTech</t>
        </is>
      </c>
      <c r="B23" s="16">
        <f>COUNTIF('Discovery Scan'!D2:D100,"*BioTech*")</f>
        <v/>
      </c>
    </row>
    <row r="24" ht="15" customHeight="1" s="13">
      <c r="A24" s="26" t="inlineStr">
        <is>
          <t>Siber Güvenlik</t>
        </is>
      </c>
      <c r="B24" s="16">
        <f>COUNTIF('Discovery Scan'!D2:D100,"*Siber Güvenlik*")</f>
        <v/>
      </c>
    </row>
    <row r="25" ht="15" customHeight="1" s="13">
      <c r="A25" s="26" t="inlineStr">
        <is>
          <t>Dijital Finans</t>
        </is>
      </c>
      <c r="B25" s="16">
        <f>COUNTIF('Discovery Scan'!D2:D100,"*Dijital Finans*")</f>
        <v/>
      </c>
    </row>
    <row r="26" ht="15" customHeight="1" s="13">
      <c r="A26" s="26" t="inlineStr">
        <is>
          <t>Savunma</t>
        </is>
      </c>
      <c r="B26" s="16">
        <f>COUNTIF('Discovery Scan'!D2:D100,"*Savunma*")</f>
        <v/>
      </c>
    </row>
    <row r="27" ht="15" customHeight="1" s="13">
      <c r="A27" s="26" t="inlineStr">
        <is>
          <t>Su &amp; Gıda &amp; İklim</t>
        </is>
      </c>
      <c r="B27" s="16">
        <f>COUNTIF('Discovery Scan'!D2:D100,"*Su &amp; Gıda &amp; İklim*")</f>
        <v/>
      </c>
    </row>
    <row r="28" ht="15" customHeight="1" s="13">
      <c r="A28" s="26" t="inlineStr">
        <is>
          <t>Quantum</t>
        </is>
      </c>
      <c r="B28" s="16">
        <f>COUNTIF('Discovery Scan'!D2:D100,"*Quantum*")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2026-03-14T12:55:35Z</dcterms:created>
  <dcterms:modified xmlns:dcterms="http://purl.org/dc/terms/" xmlns:xsi="http://www.w3.org/2001/XMLSchema-instance" xsi:type="dcterms:W3CDTF">2026-03-15T11:18:44Z</dcterms:modified>
  <cp:revision>0</cp:revision>
</cp:coreProperties>
</file>